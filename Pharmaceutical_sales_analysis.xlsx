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monthly.csv" sheetId="1" r:id="rId5"/>
    <sheet state="visible" name="Prepared Data" sheetId="2" r:id="rId6"/>
    <sheet state="visible" name="Trend Analysis " sheetId="3" r:id="rId7"/>
    <sheet state="visible" name="Seasonality Analysis " sheetId="4" r:id="rId8"/>
    <sheet state="visible" name="Category Share" sheetId="5" r:id="rId9"/>
    <sheet state="visible" name="Executive Summary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<sst xmlns="http://schemas.openxmlformats.org/spreadsheetml/2006/main" count="87" uniqueCount="45">
  <si>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</si>
  <si>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</si>
  <si>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</si>
  <si>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</si>
  <si>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</si>
  <si>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</si>
  <si>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</si>
  <si>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</si>
  <si>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</si>
  <si>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</si>
  <si>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</si>
  <si>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Month_Num</t>
  </si>
  <si>
    <t xml:space="preserve"> </t>
  </si>
  <si>
    <t>SUM of M01AB</t>
  </si>
  <si>
    <t>SUM of M01AE</t>
  </si>
  <si>
    <t>SUM of N02BA</t>
  </si>
  <si>
    <t>SUM of N02BE</t>
  </si>
  <si>
    <t>SUM of N05B</t>
  </si>
  <si>
    <t>SUM of N05C</t>
  </si>
  <si>
    <t>SUM of R03</t>
  </si>
  <si>
    <t>SUM of R06</t>
  </si>
  <si>
    <t>MIN of Month_Num</t>
  </si>
  <si>
    <t>January</t>
  </si>
  <si>
    <t>February</t>
  </si>
  <si>
    <t>March</t>
  </si>
  <si>
    <t>April</t>
  </si>
  <si>
    <t>Grand Total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</si>
  <si>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</si>
  <si>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</si>
  <si>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</si>
  <si>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</si>
  <si>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</si>
  <si>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</si>
  <si>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</si>
  <si>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</si>
  <si>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Pharmaceutical Sales &amp; Demand Seasonality Dashboard</t>
  </si>
  <si>
    <t>TOTAL UNITS SOLD</t>
  </si>
  <si>
    <t>TOP VOLUME DRIVER</t>
  </si>
  <si>
    <t>PEAK DEMAND SEASON</t>
  </si>
  <si>
    <t>STABLE BASELINE</t>
  </si>
  <si>
    <t>N02BE (49.4%)</t>
  </si>
  <si>
    <t>Q4 (Oct – Dec)</t>
  </si>
  <si>
    <t>N05B / M01AB</t>
  </si>
  <si>
    <t>Key Insights &amp; Recommendations</t>
  </si>
  <si>
    <t>• Category Dominance: Category N02BE drives 49.4% of total pharmaceutical volume (~62.5k units), followed by N05B at 14.5%. 
• Seasonal Demand Cycles: Marked autumn/winter surge for N02BE and R03 peaking in October; R06 exhibits a targeted spring allergy surge in April–May.
• Stable Baselines: M01AB and N05B maintain non-cyclical, steady consumption across all 12 months.
• Operational Recommendation: Scale safety stock and procurement lead times for analgesics and respiratory categories starting in August to mitigate Q4 stockout risk.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</si>
</sst>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Times New Roman"/>
    </font>
    <font>
      <b/>
      <color rgb="FF000000"/>
      <name val="&quot;Google Sans Text&quot;"/>
    </font>
    <font>
      <color rgb="FF000000"/>
      <name val="&quot;Google Sans Text&quot;"/>
    </font>
    <font/>
    <font>
      <sz val="16.0"/>
      <color rgb="FFFFFFFF"/>
      <name val="Times New Roman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4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top style="thin">
        <color rgb="FFC4C7C5"/>
      </top>
      <bottom style="thin">
        <color rgb="FFC4C7C5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0" fillId="0" fontId="1" numFmtId="0" xfId="0" applyAlignment="1" applyFont="1">
      <alignment horizontal="left" shrinkToFit="0" wrapText="0"/>
    </xf>
    <xf borderId="2" fillId="0" fontId="4" numFmtId="3" xfId="0" applyAlignment="1" applyBorder="1" applyFont="1" applyNumberFormat="1">
      <alignment horizontal="left" readingOrder="0"/>
    </xf>
    <xf borderId="3" fillId="0" fontId="5" numFmtId="0" xfId="0" applyBorder="1" applyFont="1"/>
    <xf borderId="2" fillId="0" fontId="4" numFmtId="0" xfId="0" applyAlignment="1" applyBorder="1" applyFont="1">
      <alignment horizontal="left" readingOrder="0"/>
    </xf>
    <xf borderId="0" fillId="2" fontId="6" numFmtId="0" xfId="0" applyAlignment="1" applyFill="1" applyFont="1">
      <alignment horizontal="center" readingOrder="0"/>
    </xf>
    <xf borderId="0" fillId="0" fontId="7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'Trend Analysis 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'!$B$2:$B$7</c:f>
              <c:numCache/>
            </c:numRef>
          </c:val>
          <c:smooth val="0"/>
        </c:ser>
        <c:ser>
          <c:idx val="1"/>
          <c:order val="1"/>
          <c:tx>
            <c:strRef>
              <c:f>'Trend Analysis 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'!$C$2:$C$7</c:f>
              <c:numCache/>
            </c:numRef>
          </c:val>
          <c:smooth val="0"/>
        </c:ser>
        <c:ser>
          <c:idx val="2"/>
          <c:order val="2"/>
          <c:tx>
            <c:strRef>
              <c:f>'Trend Analysis 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'!$D$2:$D$7</c:f>
              <c:numCache/>
            </c:numRef>
          </c:val>
          <c:smooth val="0"/>
        </c:ser>
        <c:ser>
          <c:idx val="3"/>
          <c:order val="3"/>
          <c:tx>
            <c:strRef>
              <c:f>'Trend Analysis 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'!$E$2:$E$7</c:f>
              <c:numCache/>
            </c:numRef>
          </c:val>
          <c:smooth val="0"/>
        </c:ser>
        <c:ser>
          <c:idx val="4"/>
          <c:order val="4"/>
          <c:tx>
            <c:strRef>
              <c:f>'Trend Analysis 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'!$F$2:$F$7</c:f>
              <c:numCache/>
            </c:numRef>
          </c:val>
          <c:smooth val="0"/>
        </c:ser>
        <c:ser>
          <c:idx val="5"/>
          <c:order val="5"/>
          <c:tx>
            <c:strRef>
              <c:f>'Trend Analysis 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'!$G$2:$G$7</c:f>
              <c:numCache/>
            </c:numRef>
          </c:val>
          <c:smooth val="0"/>
        </c:ser>
        <c:ser>
          <c:idx val="6"/>
          <c:order val="6"/>
          <c:tx>
            <c:strRef>
              <c:f>'Trend Analysis 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'!$H$2:$H$7</c:f>
              <c:numCache/>
            </c:numRef>
          </c:val>
          <c:smooth val="0"/>
        </c:ser>
        <c:ser>
          <c:idx val="7"/>
          <c:order val="7"/>
          <c:tx>
            <c:strRef>
              <c:f>'Trend Analysis 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'!$I$2:$I$7</c:f>
              <c:numCache/>
            </c:numRef>
          </c:val>
          <c:smooth val="0"/>
        </c:ser>
        <c:axId val="1436642030"/>
        <c:axId val="241734807"/>
      </c:lineChart>
      <c:catAx>
        <c:axId val="1436642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734807"/>
      </c:catAx>
      <c:valAx>
        <c:axId val="241734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642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'Seasonality Analysis 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'!$B$2:$B$13</c:f>
              <c:numCache/>
            </c:numRef>
          </c:val>
          <c:smooth val="0"/>
        </c:ser>
        <c:ser>
          <c:idx val="1"/>
          <c:order val="1"/>
          <c:tx>
            <c:strRef>
              <c:f>'Seasonality Analysis 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'!$C$2:$C$13</c:f>
              <c:numCache/>
            </c:numRef>
          </c:val>
          <c:smooth val="0"/>
        </c:ser>
        <c:ser>
          <c:idx val="2"/>
          <c:order val="2"/>
          <c:tx>
            <c:strRef>
              <c:f>'Seasonality Analysis 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'!$D$2:$D$13</c:f>
              <c:numCache/>
            </c:numRef>
          </c:val>
          <c:smooth val="0"/>
        </c:ser>
        <c:ser>
          <c:idx val="3"/>
          <c:order val="3"/>
          <c:tx>
            <c:strRef>
              <c:f>'Seasonality Analysis 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'!$E$2:$E$13</c:f>
              <c:numCache/>
            </c:numRef>
          </c:val>
          <c:smooth val="0"/>
        </c:ser>
        <c:ser>
          <c:idx val="4"/>
          <c:order val="4"/>
          <c:tx>
            <c:strRef>
              <c:f>'Seasonality Analysis 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'!$F$2:$F$13</c:f>
              <c:numCache/>
            </c:numRef>
          </c:val>
          <c:smooth val="0"/>
        </c:ser>
        <c:ser>
          <c:idx val="5"/>
          <c:order val="5"/>
          <c:tx>
            <c:strRef>
              <c:f>'Seasonality Analysis 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'!$G$2:$G$13</c:f>
              <c:numCache/>
            </c:numRef>
          </c:val>
          <c:smooth val="0"/>
        </c:ser>
        <c:ser>
          <c:idx val="6"/>
          <c:order val="6"/>
          <c:tx>
            <c:strRef>
              <c:f>'Seasonality Analysis '!$I$1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'!$I$2:$I$13</c:f>
              <c:numCache/>
            </c:numRef>
          </c:val>
          <c:smooth val="0"/>
        </c:ser>
        <c:ser>
          <c:idx val="7"/>
          <c:order val="7"/>
          <c:tx>
            <c:strRef>
              <c:f>'Seasonality Analysis '!$J$1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'!$J$2:$J$13</c:f>
              <c:numCache/>
            </c:numRef>
          </c:val>
          <c:smooth val="0"/>
        </c:ser>
        <c:axId val="704323238"/>
        <c:axId val="1083752665"/>
      </c:lineChart>
      <c:catAx>
        <c:axId val="70432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752665"/>
      </c:catAx>
      <c:valAx>
        <c:axId val="1083752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323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'Category Share'!$A$1:$H$1</c:f>
            </c:strRef>
          </c:cat>
          <c:val>
            <c:numRef>
              <c:f>'Category Share'!$A$2:$H$2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serif"/>
              </a:defRPr>
            </a:pPr>
            <a:r>
              <a:rPr b="1" i="0">
                <a:solidFill>
                  <a:schemeClr val="dk1"/>
                </a:solidFill>
                <a:latin typeface="serif"/>
              </a:rPr>
              <a:t>Annual Sales Trend (2014–2019)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'Trend Analysis 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'!$B$2:$B$7</c:f>
              <c:numCache/>
            </c:numRef>
          </c:val>
          <c:smooth val="0"/>
        </c:ser>
        <c:ser>
          <c:idx val="1"/>
          <c:order val="1"/>
          <c:tx>
            <c:strRef>
              <c:f>'Trend Analysis 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'!$C$2:$C$7</c:f>
              <c:numCache/>
            </c:numRef>
          </c:val>
          <c:smooth val="0"/>
        </c:ser>
        <c:ser>
          <c:idx val="2"/>
          <c:order val="2"/>
          <c:tx>
            <c:strRef>
              <c:f>'Trend Analysis 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'!$D$2:$D$7</c:f>
              <c:numCache/>
            </c:numRef>
          </c:val>
          <c:smooth val="0"/>
        </c:ser>
        <c:ser>
          <c:idx val="3"/>
          <c:order val="3"/>
          <c:tx>
            <c:strRef>
              <c:f>'Trend Analysis 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'!$E$2:$E$7</c:f>
              <c:numCache/>
            </c:numRef>
          </c:val>
          <c:smooth val="0"/>
        </c:ser>
        <c:ser>
          <c:idx val="4"/>
          <c:order val="4"/>
          <c:tx>
            <c:strRef>
              <c:f>'Trend Analysis 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'!$F$2:$F$7</c:f>
              <c:numCache/>
            </c:numRef>
          </c:val>
          <c:smooth val="0"/>
        </c:ser>
        <c:ser>
          <c:idx val="5"/>
          <c:order val="5"/>
          <c:tx>
            <c:strRef>
              <c:f>'Trend Analysis 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'!$G$2:$G$7</c:f>
              <c:numCache/>
            </c:numRef>
          </c:val>
          <c:smooth val="0"/>
        </c:ser>
        <c:ser>
          <c:idx val="6"/>
          <c:order val="6"/>
          <c:tx>
            <c:strRef>
              <c:f>'Trend Analysis 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'!$H$2:$H$7</c:f>
              <c:numCache/>
            </c:numRef>
          </c:val>
          <c:smooth val="0"/>
        </c:ser>
        <c:ser>
          <c:idx val="7"/>
          <c:order val="7"/>
          <c:tx>
            <c:strRef>
              <c:f>'Trend Analysis 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'Trend Analysis '!$A$2:$A$7</c:f>
            </c:strRef>
          </c:cat>
          <c:val>
            <c:numRef>
              <c:f>'Trend Analysis '!$I$2:$I$7</c:f>
              <c:numCache/>
            </c:numRef>
          </c:val>
          <c:smooth val="0"/>
        </c:ser>
        <c:axId val="365813346"/>
        <c:axId val="736931121"/>
      </c:lineChart>
      <c:catAx>
        <c:axId val="365813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931121"/>
      </c:catAx>
      <c:valAx>
        <c:axId val="736931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813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serif"/>
              </a:defRPr>
            </a:pPr>
            <a:r>
              <a:rPr b="1" i="0">
                <a:solidFill>
                  <a:schemeClr val="dk1"/>
                </a:solidFill>
                <a:latin typeface="serif"/>
              </a:rPr>
              <a:t>Monthly Seasonality Demand Index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'Seasonality Analysis 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'!$B$2:$B$13</c:f>
              <c:numCache/>
            </c:numRef>
          </c:val>
          <c:smooth val="0"/>
        </c:ser>
        <c:ser>
          <c:idx val="1"/>
          <c:order val="1"/>
          <c:tx>
            <c:strRef>
              <c:f>'Seasonality Analysis 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'!$C$2:$C$13</c:f>
              <c:numCache/>
            </c:numRef>
          </c:val>
          <c:smooth val="0"/>
        </c:ser>
        <c:ser>
          <c:idx val="2"/>
          <c:order val="2"/>
          <c:tx>
            <c:strRef>
              <c:f>'Seasonality Analysis 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'!$D$2:$D$13</c:f>
              <c:numCache/>
            </c:numRef>
          </c:val>
          <c:smooth val="0"/>
        </c:ser>
        <c:ser>
          <c:idx val="3"/>
          <c:order val="3"/>
          <c:tx>
            <c:strRef>
              <c:f>'Seasonality Analysis 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'!$E$2:$E$13</c:f>
              <c:numCache/>
            </c:numRef>
          </c:val>
          <c:smooth val="0"/>
        </c:ser>
        <c:ser>
          <c:idx val="4"/>
          <c:order val="4"/>
          <c:tx>
            <c:strRef>
              <c:f>'Seasonality Analysis 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'!$F$2:$F$13</c:f>
              <c:numCache/>
            </c:numRef>
          </c:val>
          <c:smooth val="0"/>
        </c:ser>
        <c:ser>
          <c:idx val="5"/>
          <c:order val="5"/>
          <c:tx>
            <c:strRef>
              <c:f>'Seasonality Analysis 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'!$G$2:$G$13</c:f>
              <c:numCache/>
            </c:numRef>
          </c:val>
          <c:smooth val="0"/>
        </c:ser>
        <c:ser>
          <c:idx val="6"/>
          <c:order val="6"/>
          <c:tx>
            <c:strRef>
              <c:f>'Seasonality Analysis '!$I$1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'!$I$2:$I$13</c:f>
              <c:numCache/>
            </c:numRef>
          </c:val>
          <c:smooth val="0"/>
        </c:ser>
        <c:ser>
          <c:idx val="7"/>
          <c:order val="7"/>
          <c:tx>
            <c:strRef>
              <c:f>'Seasonality Analysis '!$J$1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'Seasonality Analysis '!$A$2:$A$13</c:f>
            </c:strRef>
          </c:cat>
          <c:val>
            <c:numRef>
              <c:f>'Seasonality Analysis '!$J$2:$J$13</c:f>
              <c:numCache/>
            </c:numRef>
          </c:val>
          <c:smooth val="0"/>
        </c:ser>
        <c:axId val="1214315189"/>
        <c:axId val="546066695"/>
      </c:lineChart>
      <c:catAx>
        <c:axId val="1214315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066695"/>
      </c:catAx>
      <c:valAx>
        <c:axId val="546066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315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erif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Total Sales Volume Share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'Category Share'!$A$1:$H$1</c:f>
            </c:strRef>
          </c:cat>
          <c:val>
            <c:numRef>
              <c:f>'Category Share'!$A$2:$H$2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3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3857625" cy="2390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7</xdr:row>
      <xdr:rowOff>0</xdr:rowOff>
    </xdr:from>
    <xdr:ext cx="3914775" cy="2390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18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Prepared Data"/>
  </cacheSource>
  <cacheFields>
    <cacheField name="datum" numFmtId="164">
      <sharedItems containsDate="1" containsString="0" containsBlank="1">
        <d v="2014-01-31T00:00:00Z"/>
        <d v="2014-02-28T00:00:00Z"/>
        <d v="2014-03-31T00:00:00Z"/>
        <d v="2014-04-30T00:00:00Z"/>
        <d v="2014-05-31T00:00:00Z"/>
        <d v="2014-06-30T00:00:00Z"/>
        <d v="2014-07-31T00:00:00Z"/>
        <d v="2014-08-31T00:00:00Z"/>
        <d v="2014-09-30T00:00:00Z"/>
        <d v="2014-10-31T00:00:00Z"/>
        <d v="2014-11-30T00:00:00Z"/>
        <d v="2014-12-31T00:00:00Z"/>
        <d v="2015-01-31T00:00:00Z"/>
        <d v="2015-02-28T00:00:00Z"/>
        <d v="2015-03-31T00:00:00Z"/>
        <d v="2015-04-30T00:00:00Z"/>
        <d v="2015-05-31T00:00:00Z"/>
        <d v="2015-06-30T00:00:00Z"/>
        <d v="2015-07-31T00:00:00Z"/>
        <d v="2015-08-31T00:00:00Z"/>
        <d v="2015-09-30T00:00:00Z"/>
        <d v="2015-10-31T00:00:00Z"/>
        <d v="2015-11-30T00:00:00Z"/>
        <d v="2015-12-31T00:00:00Z"/>
        <d v="2016-01-31T00:00:00Z"/>
        <d v="2016-02-29T00:00:00Z"/>
        <d v="2016-03-31T00:00:00Z"/>
        <d v="2016-04-30T00:00:00Z"/>
        <d v="2016-05-31T00:00:00Z"/>
        <d v="2016-06-30T00:00:00Z"/>
        <d v="2016-07-31T00:00:00Z"/>
        <d v="2016-08-31T00:00:00Z"/>
        <d v="2016-09-30T00:00:00Z"/>
        <d v="2016-10-31T00:00:00Z"/>
        <d v="2016-11-30T00:00:00Z"/>
        <d v="2016-12-31T00:00:00Z"/>
        <d v="2017-01-31T00:00:00Z"/>
        <d v="2017-02-28T00:00:00Z"/>
        <d v="2017-03-31T00:00:00Z"/>
        <d v="2017-04-30T00:00:00Z"/>
        <d v="2017-05-31T00:00:00Z"/>
        <d v="2017-06-30T00:00:00Z"/>
        <d v="2017-07-31T00:00:00Z"/>
        <d v="2017-08-31T00:00:00Z"/>
        <d v="2017-09-30T00:00:00Z"/>
        <d v="2017-10-31T00:00:00Z"/>
        <d v="2017-11-30T00:00:00Z"/>
        <d v="2017-12-31T00:00:00Z"/>
        <d v="2018-01-31T00:00:00Z"/>
        <d v="2018-02-28T00:00:00Z"/>
        <d v="2018-03-31T00:00:00Z"/>
        <d v="2018-04-30T00:00:00Z"/>
        <d v="2018-05-31T00:00:00Z"/>
        <d v="2018-06-30T00:00:00Z"/>
        <d v="2018-07-31T00:00:00Z"/>
        <d v="2018-08-31T00:00:00Z"/>
        <d v="2018-09-30T00:00:00Z"/>
        <d v="2018-10-31T00:00:00Z"/>
        <d v="2018-11-30T00:00:00Z"/>
        <d v="2018-12-31T00:00:00Z"/>
        <d v="2019-01-31T00:00:00Z"/>
        <d v="2019-02-28T00:00:00Z"/>
        <d v="2019-03-31T00:00:00Z"/>
        <d v="2019-04-30T00:00:00Z"/>
        <d v="2019-05-31T00:00:00Z"/>
        <d v="2019-06-30T00:00:00Z"/>
        <d v="2019-07-31T00:00:00Z"/>
        <d v="2019-08-31T00:00:00Z"/>
        <d v="2019-09-30T00:00:00Z"/>
        <d v="2019-10-31T00:00:00Z"/>
        <m/>
      </sharedItems>
    </cacheField>
    <cacheField name="M01AB" numFmtId="0">
      <sharedItems containsString="0" containsBlank="1" containsNumber="1">
        <n v="127.69"/>
        <n v="133.32"/>
        <n v="137.44"/>
        <n v="113.1"/>
        <n v="101.79"/>
        <n v="112.07"/>
        <n v="117.06"/>
        <n v="134.79"/>
        <n v="108.78"/>
        <n v="154.75"/>
        <n v="138.08"/>
        <n v="131.9"/>
        <n v="135.91"/>
        <n v="115.71"/>
        <n v="156.04"/>
        <n v="154.5"/>
        <n v="160.02"/>
        <n v="151.87"/>
        <n v="175.61"/>
        <n v="181.69"/>
        <n v="166.22"/>
        <n v="195.81"/>
        <n v="152.78"/>
        <n v="159.46"/>
        <n v="171.65"/>
        <n v="173.81"/>
        <n v="156.64"/>
        <n v="166.61"/>
        <n v="167.36"/>
        <n v="169.67"/>
        <n v="203.97"/>
        <n v="211.13"/>
        <n v="172.96"/>
        <n v="186.76"/>
        <n v="175.18"/>
        <n v="169.32"/>
        <n v="0.0"/>
        <n v="139.69"/>
        <n v="162.85"/>
        <n v="155.61"/>
        <n v="143.66"/>
        <n v="122.33"/>
        <n v="159.67"/>
        <n v="170.149999999999"/>
        <n v="138.33"/>
        <n v="137.64"/>
        <n v="163.85"/>
        <n v="160.01"/>
        <n v="132.28"/>
        <n v="128.36"/>
        <n v="146.16"/>
        <n v="170.02"/>
        <n v="160.52"/>
        <n v="141.18"/>
        <n v="150.18"/>
        <n v="140.0"/>
        <n v="153.52"/>
        <n v="144.71"/>
        <n v="172.29"/>
        <n v="147.71"/>
        <n v="179.7"/>
        <n v="133.73"/>
        <n v="154.52"/>
        <n v="161.39"/>
        <n v="168.04"/>
        <n v="151.54"/>
        <n v="181.0"/>
        <n v="181.91"/>
        <n v="161.07"/>
        <n v="44.37"/>
        <m/>
      </sharedItems>
    </cacheField>
    <cacheField name="M01AE" numFmtId="0">
      <sharedItems containsString="0" containsBlank="1" containsNumber="1">
        <n v="99.09"/>
        <n v="126.05"/>
        <n v="92.95"/>
        <n v="89.475"/>
        <n v="119.933"/>
        <n v="94.71"/>
        <n v="95.0100000000001"/>
        <n v="99.7800000000001"/>
        <n v="109.094"/>
        <n v="185.241"/>
        <n v="100.86"/>
        <n v="121.401"/>
        <n v="130.349"/>
        <n v="123.739999999999"/>
        <n v="129.385999999999"/>
        <n v="101.115"/>
        <n v="119.117"/>
        <n v="113.69"/>
        <n v="113.81"/>
        <n v="144.519"/>
        <n v="134.122"/>
        <n v="127.230999999999"/>
        <n v="128.233"/>
        <n v="131.291"/>
        <n v="128.402"/>
        <n v="137.528"/>
        <n v="180.589"/>
        <n v="146.526"/>
        <n v="120.860999999999"/>
        <n v="114.961"/>
        <n v="141.019"/>
        <n v="114.374999999999"/>
        <n v="126.217999999999"/>
        <n v="142.056"/>
        <n v="116.849999999999"/>
        <n v="135.056"/>
        <n v="0.0"/>
        <n v="103.517"/>
        <n v="111.055"/>
        <n v="101.215"/>
        <n v="118.125"/>
        <n v="103.005999999999"/>
        <n v="116.206"/>
        <n v="112.47"/>
        <n v="118.711"/>
        <n v="88.737"/>
        <n v="119.78"/>
        <n v="121.663"/>
        <n v="109.445999999999"/>
        <n v="132.804"/>
        <n v="111.764"/>
        <n v="107.723"/>
        <n v="103.521999999999"/>
        <n v="114.226"/>
        <n v="132.549"/>
        <n v="114.719"/>
        <n v="114.992"/>
        <n v="129.4"/>
        <n v="105.487"/>
        <n v="113.024"/>
        <n v="222.351"/>
        <n v="142.155"/>
        <n v="113.118"/>
        <n v="100.165"/>
        <n v="97.258"/>
        <n v="101.627"/>
        <n v="103.541"/>
        <n v="88.269"/>
        <n v="111.437"/>
        <n v="37.3"/>
        <m/>
      </sharedItems>
    </cacheField>
    <cacheField name="N02BA" numFmtId="0">
      <sharedItems containsString="0" containsBlank="1" containsNumber="1">
        <n v="152.099999999999"/>
        <n v="176.999999999999"/>
        <n v="147.655"/>
        <n v="130.899999999999"/>
        <n v="132.1"/>
        <n v="122.9"/>
        <n v="129.3"/>
        <n v="123.8"/>
        <n v="122.099999999999"/>
        <n v="191.599999999999"/>
        <n v="142.7"/>
        <n v="111.124"/>
        <n v="141.0"/>
        <n v="131.83"/>
        <n v="133.8"/>
        <n v="122.1"/>
        <n v="136.04"/>
        <n v="145.46"/>
        <n v="125.5"/>
        <n v="133.4"/>
        <n v="110.4"/>
        <n v="146.2"/>
        <n v="145.9"/>
        <n v="136.999999999999"/>
        <n v="172.499999999999"/>
        <n v="134.2"/>
        <n v="148.4"/>
        <n v="147.7"/>
        <n v="130.549999999999"/>
        <n v="117.75"/>
        <n v="137.899999999999"/>
        <n v="132.7"/>
        <n v="116.7"/>
        <n v="160.15"/>
        <n v="133.85"/>
        <n v="132.399999999999"/>
        <n v="0.0"/>
        <n v="97.0"/>
        <n v="107.35"/>
        <n v="100.5"/>
        <n v="98.95"/>
        <n v="119.6"/>
        <n v="75.1999999999999"/>
        <n v="84.4"/>
        <n v="88.1499999999999"/>
        <n v="100.399999999999"/>
        <n v="104.45"/>
        <n v="115.149999999999"/>
        <n v="101.149999999999"/>
        <n v="114.65"/>
        <n v="122.3"/>
        <n v="84.6"/>
        <n v="89.3999999999999"/>
        <n v="86.8"/>
        <n v="87.2"/>
        <n v="88.25"/>
        <n v="86.5"/>
        <n v="76.05"/>
        <n v="102.149999999999"/>
        <n v="84.75"/>
        <n v="99.6999999999999"/>
        <n v="110.199999999999"/>
        <n v="83.35"/>
        <n v="88.1"/>
        <n v="104.1"/>
        <n v="103.2"/>
        <n v="92.8"/>
        <n v="84.1999999999999"/>
        <n v="93.4999999999999"/>
        <n v="20.65"/>
        <m/>
      </sharedItems>
    </cacheField>
    <cacheField name="N02BE" numFmtId="0">
      <sharedItems containsString="0" containsBlank="1" containsNumber="1">
        <n v="878.03"/>
        <n v="1001.9"/>
        <n v="779.275"/>
        <n v="698.5"/>
        <n v="628.78"/>
        <n v="548.225"/>
        <n v="491.9"/>
        <n v="583.849999999999"/>
        <n v="887.819999999999"/>
        <n v="1856.81499999999"/>
        <n v="723.8"/>
        <n v="1015.66"/>
        <n v="1044.24"/>
        <n v="953.252"/>
        <n v="1084.85"/>
        <n v="940.17"/>
        <n v="765.9"/>
        <n v="746.788"/>
        <n v="708.828"/>
        <n v="790.788"/>
        <n v="852.125"/>
        <n v="1574.335"/>
        <n v="1277.725"/>
        <n v="1258.349"/>
        <n v="1476.324"/>
        <n v="1224.862"/>
        <n v="1150.7"/>
        <n v="998.337"/>
        <n v="997.15"/>
        <n v="760.05"/>
        <n v="652.361999999999"/>
        <n v="753.05"/>
        <n v="1118.699"/>
        <n v="1617.275"/>
        <n v="1062.686"/>
        <n v="1624.335"/>
        <n v="0.0"/>
        <n v="526.35"/>
        <n v="612.5"/>
        <n v="540.199999999999"/>
        <n v="547.939999999999"/>
        <n v="496.1"/>
        <n v="479.349999999999"/>
        <n v="549.3"/>
        <n v="863.75"/>
        <n v="1184.35"/>
        <n v="867.899"/>
        <n v="1007.18"/>
        <n v="1134.325"/>
        <n v="1255.374"/>
        <n v="999.123"/>
        <n v="836.036999999999"/>
        <n v="644.648"/>
        <n v="584.343"/>
        <n v="679.349999999999"/>
        <n v="733.838"/>
        <n v="1058.262"/>
        <n v="1129.27499999999"/>
        <n v="995.15"/>
        <n v="1213.95"/>
        <n v="1660.612"/>
        <n v="1001.212"/>
        <n v="941.05"/>
        <n v="647.65"/>
        <n v="703.562"/>
        <n v="609.999999999999"/>
        <n v="649.8"/>
        <n v="518.099999999999"/>
        <n v="984.479999999999"/>
        <n v="295.15"/>
        <m/>
      </sharedItems>
    </cacheField>
    <cacheField name="N05B" numFmtId="0">
      <sharedItems containsString="0" containsBlank="1" containsNumber="1">
        <n v="354.0"/>
        <n v="347.0"/>
        <n v="232.0"/>
        <n v="209.0"/>
        <n v="270.0"/>
        <n v="323.0"/>
        <n v="348.0"/>
        <n v="420.0"/>
        <n v="399.0"/>
        <n v="472.0"/>
        <n v="489.0"/>
        <n v="492.0"/>
        <n v="463.0"/>
        <n v="243.0"/>
        <n v="208.0"/>
        <n v="192.0"/>
        <n v="194.0"/>
        <n v="217.0"/>
        <n v="203.0"/>
        <n v="265.5"/>
        <n v="243.5"/>
        <n v="222.0"/>
        <n v="228.0"/>
        <n v="286.0"/>
        <n v="248.0"/>
        <n v="239.0"/>
        <n v="250.0"/>
        <n v="318.0"/>
        <n v="275.0"/>
        <n v="311.0"/>
        <n v="240.0"/>
        <n v="275.5"/>
        <n v="307.0"/>
        <n v="312.0"/>
        <n v="246.0"/>
        <n v="257.0"/>
        <n v="1.0"/>
        <n v="144.0"/>
        <n v="165.0"/>
        <n v="132.0"/>
        <n v="148.0"/>
        <n v="163.0"/>
        <n v="219.0"/>
        <n v="223.0"/>
        <n v="226.0"/>
        <n v="229.0"/>
        <n v="268.0"/>
        <n v="381.0"/>
        <n v="289.0"/>
        <n v="259.0"/>
        <n v="283.0"/>
        <n v="253.0"/>
        <n v="263.0"/>
        <n v="287.0"/>
        <n v="252.2"/>
        <n v="254.0"/>
        <n v="295.2"/>
        <n v="249.399999999999"/>
        <n v="301.4"/>
        <n v="299.4"/>
        <n v="265.799999999999"/>
        <n v="193.0"/>
        <n v="250.6"/>
        <n v="237.0"/>
        <n v="227.799999999999"/>
        <n v="86.0"/>
        <m/>
      </sharedItems>
    </cacheField>
    <cacheField name="N05C" numFmtId="0">
      <sharedItems containsString="0" containsBlank="1" containsNumber="1" containsInteger="1">
        <n v="50.0"/>
        <n v="31.0"/>
        <n v="20.0"/>
        <n v="18.0"/>
        <n v="23.0"/>
        <n v="21.0"/>
        <n v="29.0"/>
        <n v="14.0"/>
        <n v="30.0"/>
        <n v="19.0"/>
        <n v="25.0"/>
        <n v="24.0"/>
        <n v="9.0"/>
        <n v="13.0"/>
        <n v="5.0"/>
        <n v="10.0"/>
        <n v="12.0"/>
        <n v="6.0"/>
        <n v="15.0"/>
        <n v="11.0"/>
        <n v="8.0"/>
        <n v="28.0"/>
        <n v="27.0"/>
        <n v="0.0"/>
        <n v="7.0"/>
        <n v="42.0"/>
        <n v="22.0"/>
        <n v="26.0"/>
        <n v="16.0"/>
        <m/>
      </sharedItems>
    </cacheField>
    <cacheField name="R03" numFmtId="0">
      <sharedItems containsString="0" containsBlank="1" containsNumber="1">
        <n v="112.0"/>
        <n v="122.0"/>
        <n v="97.0"/>
        <n v="107.0"/>
        <n v="57.0"/>
        <n v="61.0"/>
        <n v="37.0"/>
        <n v="115.0"/>
        <n v="182.0"/>
        <n v="163.0"/>
        <n v="177.25"/>
        <n v="208.0"/>
        <n v="195.0"/>
        <n v="100.0"/>
        <n v="193.0"/>
        <n v="60.0"/>
        <n v="45.0"/>
        <n v="91.0"/>
        <n v="184.0"/>
        <n v="231.0"/>
        <n v="174.0"/>
        <n v="245.0"/>
        <n v="253.0"/>
        <n v="216.0"/>
        <n v="131.0"/>
        <n v="127.0"/>
        <n v="109.0"/>
        <n v="116.0"/>
        <n v="121.0"/>
        <n v="220.0"/>
        <n v="150.0"/>
        <n v="275.0"/>
        <n v="0.0"/>
        <n v="117.0"/>
        <n v="139.0"/>
        <n v="209.0"/>
        <n v="128.0"/>
        <n v="75.0"/>
        <n v="247.0"/>
        <n v="196.0"/>
        <n v="204.0"/>
        <n v="219.0"/>
        <n v="269.0"/>
        <n v="229.0"/>
        <n v="192.0"/>
        <n v="101.0"/>
        <n v="90.0"/>
        <n v="159.0"/>
        <n v="205.0"/>
        <n v="353.0"/>
        <n v="311.0"/>
        <n v="384.0"/>
        <n v="386.0"/>
        <n v="226.0"/>
        <n v="257.0"/>
        <n v="259.0"/>
        <n v="322.0"/>
        <n v="142.0"/>
        <n v="145.0"/>
        <n v="161.0"/>
        <m/>
      </sharedItems>
    </cacheField>
    <cacheField name="R06" numFmtId="0">
      <sharedItems containsString="0" containsBlank="1" containsNumber="1">
        <n v="48.2"/>
        <n v="36.2"/>
        <n v="85.4"/>
        <n v="73.7"/>
        <n v="123.699999999999"/>
        <n v="109.3"/>
        <n v="69.1"/>
        <n v="70.8"/>
        <n v="58.8"/>
        <n v="74.5"/>
        <n v="45.2"/>
        <n v="33.4"/>
        <n v="42.0"/>
        <n v="47.0"/>
        <n v="54.0"/>
        <n v="112.0"/>
        <n v="159.5"/>
        <n v="125.799999999999"/>
        <n v="130.3"/>
        <n v="83.7"/>
        <n v="71.0"/>
        <n v="72.0"/>
        <n v="44.0"/>
        <n v="41.73"/>
        <n v="56.5"/>
        <n v="58.0"/>
        <n v="97.84"/>
        <n v="162.399999999999"/>
        <n v="137.1"/>
        <n v="134.8"/>
        <n v="116.83"/>
        <n v="85.3"/>
        <n v="69.3"/>
        <n v="60.9"/>
        <n v="51.1999999999999"/>
        <n v="34.9"/>
        <n v="0.0"/>
        <n v="30.6"/>
        <n v="100.1"/>
        <n v="122.399999999999"/>
        <n v="161.81"/>
        <n v="151.899999999999"/>
        <n v="81.1"/>
        <n v="60.1"/>
        <n v="66.9"/>
        <n v="51.0"/>
        <n v="46.5999999999999"/>
        <n v="47.1"/>
        <n v="49.5"/>
        <n v="39.06"/>
        <n v="85.5"/>
        <n v="197.1"/>
        <n v="213.04"/>
        <n v="120.8"/>
        <n v="122.2"/>
        <n v="103.1"/>
        <n v="88.1"/>
        <n v="76.9"/>
        <n v="48.4"/>
        <n v="53.0999999999999"/>
        <n v="41.3"/>
        <n v="69.5"/>
        <n v="169.499999999999"/>
        <n v="179.1"/>
        <n v="135.4"/>
        <n v="156.04"/>
        <n v="105.2"/>
        <n v="97.3"/>
        <n v="109.1"/>
        <n v="11.1299999999999"/>
        <m/>
      </sharedItems>
    </cacheField>
    <cacheField name="Year" numFmtId="0">
      <sharedItems containsString="0" containsBlank="1" containsNumber="1" containsInteger="1">
        <n v="2014.0"/>
        <n v="2015.0"/>
        <n v="2016.0"/>
        <n v="2017.0"/>
        <n v="2018.0"/>
        <n v="2019.0"/>
        <m/>
      </sharedItems>
    </cacheField>
    <cacheField name="Month" numFmtId="0">
      <sharedItems containsBlank="1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Month_Num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71" sheet="Prepared Data"/>
  </cacheSource>
  <cacheFields>
    <cacheField name="datum" numFmtId="164">
      <sharedItems containsSemiMixedTypes="0" containsDate="1" containsString="0">
        <d v="2014-01-31T00:00:00Z"/>
        <d v="2014-02-28T00:00:00Z"/>
        <d v="2014-03-31T00:00:00Z"/>
        <d v="2014-04-30T00:00:00Z"/>
        <d v="2014-05-31T00:00:00Z"/>
        <d v="2014-06-30T00:00:00Z"/>
        <d v="2014-07-31T00:00:00Z"/>
        <d v="2014-08-31T00:00:00Z"/>
        <d v="2014-09-30T00:00:00Z"/>
        <d v="2014-10-31T00:00:00Z"/>
        <d v="2014-11-30T00:00:00Z"/>
        <d v="2014-12-31T00:00:00Z"/>
        <d v="2015-01-31T00:00:00Z"/>
        <d v="2015-02-28T00:00:00Z"/>
        <d v="2015-03-31T00:00:00Z"/>
        <d v="2015-04-30T00:00:00Z"/>
        <d v="2015-05-31T00:00:00Z"/>
        <d v="2015-06-30T00:00:00Z"/>
        <d v="2015-07-31T00:00:00Z"/>
        <d v="2015-08-31T00:00:00Z"/>
        <d v="2015-09-30T00:00:00Z"/>
        <d v="2015-10-31T00:00:00Z"/>
        <d v="2015-11-30T00:00:00Z"/>
        <d v="2015-12-31T00:00:00Z"/>
        <d v="2016-01-31T00:00:00Z"/>
        <d v="2016-02-29T00:00:00Z"/>
        <d v="2016-03-31T00:00:00Z"/>
        <d v="2016-04-30T00:00:00Z"/>
        <d v="2016-05-31T00:00:00Z"/>
        <d v="2016-06-30T00:00:00Z"/>
        <d v="2016-07-31T00:00:00Z"/>
        <d v="2016-08-31T00:00:00Z"/>
        <d v="2016-09-30T00:00:00Z"/>
        <d v="2016-10-31T00:00:00Z"/>
        <d v="2016-11-30T00:00:00Z"/>
        <d v="2016-12-31T00:00:00Z"/>
        <d v="2017-01-31T00:00:00Z"/>
        <d v="2017-02-28T00:00:00Z"/>
        <d v="2017-03-31T00:00:00Z"/>
        <d v="2017-04-30T00:00:00Z"/>
        <d v="2017-05-31T00:00:00Z"/>
        <d v="2017-06-30T00:00:00Z"/>
        <d v="2017-07-31T00:00:00Z"/>
        <d v="2017-08-31T00:00:00Z"/>
        <d v="2017-09-30T00:00:00Z"/>
        <d v="2017-10-31T00:00:00Z"/>
        <d v="2017-11-30T00:00:00Z"/>
        <d v="2017-12-31T00:00:00Z"/>
        <d v="2018-01-31T00:00:00Z"/>
        <d v="2018-02-28T00:00:00Z"/>
        <d v="2018-03-31T00:00:00Z"/>
        <d v="2018-04-30T00:00:00Z"/>
        <d v="2018-05-31T00:00:00Z"/>
        <d v="2018-06-30T00:00:00Z"/>
        <d v="2018-07-31T00:00:00Z"/>
        <d v="2018-08-31T00:00:00Z"/>
        <d v="2018-09-30T00:00:00Z"/>
        <d v="2018-10-31T00:00:00Z"/>
        <d v="2018-11-30T00:00:00Z"/>
        <d v="2018-12-31T00:00:00Z"/>
        <d v="2019-01-31T00:00:00Z"/>
        <d v="2019-02-28T00:00:00Z"/>
        <d v="2019-03-31T00:00:00Z"/>
        <d v="2019-04-30T00:00:00Z"/>
        <d v="2019-05-31T00:00:00Z"/>
        <d v="2019-06-30T00:00:00Z"/>
        <d v="2019-07-31T00:00:00Z"/>
        <d v="2019-08-31T00:00:00Z"/>
        <d v="2019-09-30T00:00:00Z"/>
        <d v="2019-10-31T00:00:00Z"/>
      </sharedItems>
    </cacheField>
    <cacheField name="M01AB" numFmtId="0">
      <sharedItems containsSemiMixedTypes="0" containsString="0" containsNumber="1">
        <n v="127.69"/>
        <n v="133.32"/>
        <n v="137.44"/>
        <n v="113.1"/>
        <n v="101.79"/>
        <n v="112.07"/>
        <n v="117.06"/>
        <n v="134.79"/>
        <n v="108.78"/>
        <n v="154.75"/>
        <n v="138.08"/>
        <n v="131.9"/>
        <n v="135.91"/>
        <n v="115.71"/>
        <n v="156.04"/>
        <n v="154.5"/>
        <n v="160.02"/>
        <n v="151.87"/>
        <n v="175.61"/>
        <n v="181.69"/>
        <n v="166.22"/>
        <n v="195.81"/>
        <n v="152.78"/>
        <n v="159.46"/>
        <n v="171.65"/>
        <n v="173.81"/>
        <n v="156.64"/>
        <n v="166.61"/>
        <n v="167.36"/>
        <n v="169.67"/>
        <n v="203.97"/>
        <n v="211.13"/>
        <n v="172.96"/>
        <n v="186.76"/>
        <n v="175.18"/>
        <n v="169.32"/>
        <n v="0.0"/>
        <n v="139.69"/>
        <n v="162.85"/>
        <n v="155.61"/>
        <n v="143.66"/>
        <n v="122.33"/>
        <n v="159.67"/>
        <n v="170.149999999999"/>
        <n v="138.33"/>
        <n v="137.64"/>
        <n v="163.85"/>
        <n v="160.01"/>
        <n v="132.28"/>
        <n v="128.36"/>
        <n v="146.16"/>
        <n v="170.02"/>
        <n v="160.52"/>
        <n v="141.18"/>
        <n v="150.18"/>
        <n v="140.0"/>
        <n v="153.52"/>
        <n v="144.71"/>
        <n v="172.29"/>
        <n v="147.71"/>
        <n v="179.7"/>
        <n v="133.73"/>
        <n v="154.52"/>
        <n v="161.39"/>
        <n v="168.04"/>
        <n v="151.54"/>
        <n v="181.0"/>
        <n v="181.91"/>
        <n v="161.07"/>
        <n v="44.37"/>
      </sharedItems>
    </cacheField>
    <cacheField name="M01AE" numFmtId="0">
      <sharedItems containsSemiMixedTypes="0" containsString="0" containsNumber="1">
        <n v="99.09"/>
        <n v="126.05"/>
        <n v="92.95"/>
        <n v="89.475"/>
        <n v="119.933"/>
        <n v="94.71"/>
        <n v="95.0100000000001"/>
        <n v="99.7800000000001"/>
        <n v="109.094"/>
        <n v="185.241"/>
        <n v="100.86"/>
        <n v="121.401"/>
        <n v="130.349"/>
        <n v="123.739999999999"/>
        <n v="129.385999999999"/>
        <n v="101.115"/>
        <n v="119.117"/>
        <n v="113.69"/>
        <n v="113.81"/>
        <n v="144.519"/>
        <n v="134.122"/>
        <n v="127.230999999999"/>
        <n v="128.233"/>
        <n v="131.291"/>
        <n v="128.402"/>
        <n v="137.528"/>
        <n v="180.589"/>
        <n v="146.526"/>
        <n v="120.860999999999"/>
        <n v="114.961"/>
        <n v="141.019"/>
        <n v="114.374999999999"/>
        <n v="126.217999999999"/>
        <n v="142.056"/>
        <n v="116.849999999999"/>
        <n v="135.056"/>
        <n v="0.0"/>
        <n v="103.517"/>
        <n v="111.055"/>
        <n v="101.215"/>
        <n v="118.125"/>
        <n v="103.005999999999"/>
        <n v="116.206"/>
        <n v="112.47"/>
        <n v="118.711"/>
        <n v="88.737"/>
        <n v="119.78"/>
        <n v="121.663"/>
        <n v="109.445999999999"/>
        <n v="132.804"/>
        <n v="111.764"/>
        <n v="107.723"/>
        <n v="103.521999999999"/>
        <n v="114.226"/>
        <n v="132.549"/>
        <n v="114.719"/>
        <n v="114.992"/>
        <n v="129.4"/>
        <n v="105.487"/>
        <n v="113.024"/>
        <n v="222.351"/>
        <n v="142.155"/>
        <n v="113.118"/>
        <n v="100.165"/>
        <n v="97.258"/>
        <n v="101.627"/>
        <n v="103.541"/>
        <n v="88.269"/>
        <n v="111.437"/>
        <n v="37.3"/>
      </sharedItems>
    </cacheField>
    <cacheField name="N02BA" numFmtId="0">
      <sharedItems containsSemiMixedTypes="0" containsString="0" containsNumber="1">
        <n v="152.099999999999"/>
        <n v="176.999999999999"/>
        <n v="147.655"/>
        <n v="130.899999999999"/>
        <n v="132.1"/>
        <n v="122.9"/>
        <n v="129.3"/>
        <n v="123.8"/>
        <n v="122.099999999999"/>
        <n v="191.599999999999"/>
        <n v="142.7"/>
        <n v="111.124"/>
        <n v="141.0"/>
        <n v="131.83"/>
        <n v="133.8"/>
        <n v="122.1"/>
        <n v="136.04"/>
        <n v="145.46"/>
        <n v="125.5"/>
        <n v="133.4"/>
        <n v="110.4"/>
        <n v="146.2"/>
        <n v="145.9"/>
        <n v="136.999999999999"/>
        <n v="172.499999999999"/>
        <n v="134.2"/>
        <n v="148.4"/>
        <n v="147.7"/>
        <n v="130.549999999999"/>
        <n v="117.75"/>
        <n v="137.899999999999"/>
        <n v="132.7"/>
        <n v="116.7"/>
        <n v="160.15"/>
        <n v="133.85"/>
        <n v="132.399999999999"/>
        <n v="0.0"/>
        <n v="97.0"/>
        <n v="107.35"/>
        <n v="100.5"/>
        <n v="98.95"/>
        <n v="119.6"/>
        <n v="75.1999999999999"/>
        <n v="84.4"/>
        <n v="88.1499999999999"/>
        <n v="100.399999999999"/>
        <n v="104.45"/>
        <n v="115.149999999999"/>
        <n v="101.149999999999"/>
        <n v="114.65"/>
        <n v="122.3"/>
        <n v="84.6"/>
        <n v="89.3999999999999"/>
        <n v="86.8"/>
        <n v="87.2"/>
        <n v="88.25"/>
        <n v="86.5"/>
        <n v="76.05"/>
        <n v="102.149999999999"/>
        <n v="84.75"/>
        <n v="99.6999999999999"/>
        <n v="110.199999999999"/>
        <n v="83.35"/>
        <n v="88.1"/>
        <n v="104.1"/>
        <n v="103.2"/>
        <n v="92.8"/>
        <n v="84.1999999999999"/>
        <n v="93.4999999999999"/>
        <n v="20.65"/>
      </sharedItems>
    </cacheField>
    <cacheField name="N02BE" numFmtId="0">
      <sharedItems containsSemiMixedTypes="0" containsString="0" containsNumber="1">
        <n v="878.03"/>
        <n v="1001.9"/>
        <n v="779.275"/>
        <n v="698.5"/>
        <n v="628.78"/>
        <n v="548.225"/>
        <n v="491.9"/>
        <n v="583.849999999999"/>
        <n v="887.819999999999"/>
        <n v="1856.81499999999"/>
        <n v="723.8"/>
        <n v="1015.66"/>
        <n v="1044.24"/>
        <n v="953.252"/>
        <n v="1084.85"/>
        <n v="940.17"/>
        <n v="765.9"/>
        <n v="746.788"/>
        <n v="708.828"/>
        <n v="790.788"/>
        <n v="852.125"/>
        <n v="1574.335"/>
        <n v="1277.725"/>
        <n v="1258.349"/>
        <n v="1476.324"/>
        <n v="1224.862"/>
        <n v="1150.7"/>
        <n v="998.337"/>
        <n v="997.15"/>
        <n v="760.05"/>
        <n v="652.361999999999"/>
        <n v="753.05"/>
        <n v="1118.699"/>
        <n v="1617.275"/>
        <n v="1062.686"/>
        <n v="1624.335"/>
        <n v="0.0"/>
        <n v="526.35"/>
        <n v="612.5"/>
        <n v="540.199999999999"/>
        <n v="547.939999999999"/>
        <n v="496.1"/>
        <n v="479.349999999999"/>
        <n v="549.3"/>
        <n v="863.75"/>
        <n v="1184.35"/>
        <n v="867.899"/>
        <n v="1007.18"/>
        <n v="1134.325"/>
        <n v="1255.374"/>
        <n v="999.123"/>
        <n v="836.036999999999"/>
        <n v="644.648"/>
        <n v="584.343"/>
        <n v="679.349999999999"/>
        <n v="733.838"/>
        <n v="1058.262"/>
        <n v="1129.27499999999"/>
        <n v="995.15"/>
        <n v="1213.95"/>
        <n v="1660.612"/>
        <n v="1001.212"/>
        <n v="941.05"/>
        <n v="647.65"/>
        <n v="703.562"/>
        <n v="609.999999999999"/>
        <n v="649.8"/>
        <n v="518.099999999999"/>
        <n v="984.479999999999"/>
        <n v="295.15"/>
      </sharedItems>
    </cacheField>
    <cacheField name="N05B" numFmtId="0">
      <sharedItems containsSemiMixedTypes="0" containsString="0" containsNumber="1">
        <n v="354.0"/>
        <n v="347.0"/>
        <n v="232.0"/>
        <n v="209.0"/>
        <n v="270.0"/>
        <n v="323.0"/>
        <n v="348.0"/>
        <n v="420.0"/>
        <n v="399.0"/>
        <n v="472.0"/>
        <n v="489.0"/>
        <n v="492.0"/>
        <n v="463.0"/>
        <n v="243.0"/>
        <n v="208.0"/>
        <n v="192.0"/>
        <n v="194.0"/>
        <n v="217.0"/>
        <n v="203.0"/>
        <n v="265.5"/>
        <n v="243.5"/>
        <n v="222.0"/>
        <n v="228.0"/>
        <n v="286.0"/>
        <n v="248.0"/>
        <n v="239.0"/>
        <n v="250.0"/>
        <n v="318.0"/>
        <n v="275.0"/>
        <n v="311.0"/>
        <n v="240.0"/>
        <n v="275.5"/>
        <n v="307.0"/>
        <n v="312.0"/>
        <n v="246.0"/>
        <n v="257.0"/>
        <n v="1.0"/>
        <n v="144.0"/>
        <n v="165.0"/>
        <n v="132.0"/>
        <n v="148.0"/>
        <n v="163.0"/>
        <n v="219.0"/>
        <n v="223.0"/>
        <n v="226.0"/>
        <n v="229.0"/>
        <n v="268.0"/>
        <n v="381.0"/>
        <n v="289.0"/>
        <n v="259.0"/>
        <n v="283.0"/>
        <n v="253.0"/>
        <n v="263.0"/>
        <n v="287.0"/>
        <n v="252.2"/>
        <n v="254.0"/>
        <n v="295.2"/>
        <n v="249.399999999999"/>
        <n v="301.4"/>
        <n v="299.4"/>
        <n v="265.799999999999"/>
        <n v="193.0"/>
        <n v="250.6"/>
        <n v="237.0"/>
        <n v="227.799999999999"/>
        <n v="86.0"/>
      </sharedItems>
    </cacheField>
    <cacheField name="N05C" numFmtId="0">
      <sharedItems containsSemiMixedTypes="0" containsString="0" containsNumber="1" containsInteger="1">
        <n v="50.0"/>
        <n v="31.0"/>
        <n v="20.0"/>
        <n v="18.0"/>
        <n v="23.0"/>
        <n v="21.0"/>
        <n v="29.0"/>
        <n v="14.0"/>
        <n v="30.0"/>
        <n v="19.0"/>
        <n v="25.0"/>
        <n v="24.0"/>
        <n v="9.0"/>
        <n v="13.0"/>
        <n v="5.0"/>
        <n v="10.0"/>
        <n v="12.0"/>
        <n v="6.0"/>
        <n v="15.0"/>
        <n v="11.0"/>
        <n v="8.0"/>
        <n v="28.0"/>
        <n v="27.0"/>
        <n v="0.0"/>
        <n v="7.0"/>
        <n v="42.0"/>
        <n v="22.0"/>
        <n v="26.0"/>
        <n v="16.0"/>
      </sharedItems>
    </cacheField>
    <cacheField name="R03" numFmtId="0">
      <sharedItems containsSemiMixedTypes="0" containsString="0" containsNumber="1">
        <n v="112.0"/>
        <n v="122.0"/>
        <n v="97.0"/>
        <n v="107.0"/>
        <n v="57.0"/>
        <n v="61.0"/>
        <n v="37.0"/>
        <n v="115.0"/>
        <n v="182.0"/>
        <n v="163.0"/>
        <n v="177.25"/>
        <n v="208.0"/>
        <n v="195.0"/>
        <n v="100.0"/>
        <n v="193.0"/>
        <n v="60.0"/>
        <n v="45.0"/>
        <n v="91.0"/>
        <n v="184.0"/>
        <n v="231.0"/>
        <n v="174.0"/>
        <n v="245.0"/>
        <n v="253.0"/>
        <n v="216.0"/>
        <n v="131.0"/>
        <n v="127.0"/>
        <n v="109.0"/>
        <n v="116.0"/>
        <n v="121.0"/>
        <n v="220.0"/>
        <n v="150.0"/>
        <n v="275.0"/>
        <n v="0.0"/>
        <n v="117.0"/>
        <n v="139.0"/>
        <n v="209.0"/>
        <n v="128.0"/>
        <n v="75.0"/>
        <n v="247.0"/>
        <n v="196.0"/>
        <n v="204.0"/>
        <n v="219.0"/>
        <n v="269.0"/>
        <n v="229.0"/>
        <n v="192.0"/>
        <n v="101.0"/>
        <n v="90.0"/>
        <n v="159.0"/>
        <n v="205.0"/>
        <n v="353.0"/>
        <n v="311.0"/>
        <n v="384.0"/>
        <n v="386.0"/>
        <n v="226.0"/>
        <n v="257.0"/>
        <n v="259.0"/>
        <n v="322.0"/>
        <n v="142.0"/>
        <n v="145.0"/>
        <n v="161.0"/>
      </sharedItems>
    </cacheField>
    <cacheField name="R06" numFmtId="0">
      <sharedItems containsSemiMixedTypes="0" containsString="0" containsNumber="1">
        <n v="48.2"/>
        <n v="36.2"/>
        <n v="85.4"/>
        <n v="73.7"/>
        <n v="123.699999999999"/>
        <n v="109.3"/>
        <n v="69.1"/>
        <n v="70.8"/>
        <n v="58.8"/>
        <n v="74.5"/>
        <n v="45.2"/>
        <n v="33.4"/>
        <n v="42.0"/>
        <n v="47.0"/>
        <n v="54.0"/>
        <n v="112.0"/>
        <n v="159.5"/>
        <n v="125.799999999999"/>
        <n v="130.3"/>
        <n v="83.7"/>
        <n v="71.0"/>
        <n v="72.0"/>
        <n v="44.0"/>
        <n v="41.73"/>
        <n v="56.5"/>
        <n v="58.0"/>
        <n v="97.84"/>
        <n v="162.399999999999"/>
        <n v="137.1"/>
        <n v="134.8"/>
        <n v="116.83"/>
        <n v="85.3"/>
        <n v="69.3"/>
        <n v="60.9"/>
        <n v="51.1999999999999"/>
        <n v="34.9"/>
        <n v="0.0"/>
        <n v="30.6"/>
        <n v="100.1"/>
        <n v="122.399999999999"/>
        <n v="161.81"/>
        <n v="151.899999999999"/>
        <n v="81.1"/>
        <n v="60.1"/>
        <n v="66.9"/>
        <n v="51.0"/>
        <n v="46.5999999999999"/>
        <n v="47.1"/>
        <n v="49.5"/>
        <n v="39.06"/>
        <n v="85.5"/>
        <n v="197.1"/>
        <n v="213.04"/>
        <n v="120.8"/>
        <n v="122.2"/>
        <n v="103.1"/>
        <n v="88.1"/>
        <n v="76.9"/>
        <n v="48.4"/>
        <n v="53.0999999999999"/>
        <n v="41.3"/>
        <n v="69.5"/>
        <n v="169.499999999999"/>
        <n v="179.1"/>
        <n v="135.4"/>
        <n v="156.04"/>
        <n v="105.2"/>
        <n v="97.3"/>
        <n v="109.1"/>
        <n v="11.1299999999999"/>
      </sharedItems>
    </cacheField>
    <cacheField name="Year" numFmtId="0">
      <sharedItems containsSemiMixedTypes="0" containsString="0" containsNumber="1" containsInteger="1">
        <n v="2014.0"/>
        <n v="2015.0"/>
        <n v="2016.0"/>
        <n v="2017.0"/>
        <n v="2018.0"/>
        <n v="2019.0"/>
      </sharedItems>
    </cacheField>
    <cacheField name="Month" numFmtId="0">
      <sharedItems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rend Analysis " cacheId="0" dataCaption="" compact="0" compactData="0">
  <location ref="A1:I8" firstHeaderRow="0" firstDataRow="2" firstDataCol="0"/>
  <pivotFields>
    <pivotField name="dat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M01A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M01A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N02B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N02B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N05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N05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0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06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Year" axis="axisRow" compact="0" outline="0" multipleItemSelectionAllowed="1" showAll="0" sortType="ascending">
      <items>
        <item h="1" x="6"/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9"/>
  </rowFields>
  <colFields>
    <field x="-2"/>
  </colFields>
  <dataFields>
    <dataField name="SUM of M01AB" fld="1" baseField="0"/>
    <dataField name="SUM of M01AE" fld="2" baseField="0"/>
    <dataField name="SUM of N02BA" fld="3" baseField="0"/>
    <dataField name="SUM of N02BE" fld="4" baseField="0"/>
    <dataField name="SUM of N05B" fld="5" baseField="0"/>
    <dataField name="SUM of N05C" fld="6" baseField="0"/>
    <dataField name="SUM of R03" fld="7" baseField="0"/>
    <dataField name="SUM of R06" fld="8" baseField="0"/>
  </dataFields>
</pivotTableDefinition>
</file>

<file path=xl/pivotTables/pivotTable2.xml><?xml version="1.0" encoding="utf-8"?>
<pivotTableDefinition xmlns="http://schemas.openxmlformats.org/spreadsheetml/2006/main" name="Seasonality Analysis " cacheId="1" dataCaption="" compact="0" compactData="0">
  <location ref="A1:K14" firstHeaderRow="0" firstDataRow="2" firstDataCol="0"/>
  <pivotFields>
    <pivotField name="dat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M01A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M01A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N02B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N02B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N05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N05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0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06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9"/>
            </reference>
          </references>
        </pivotArea>
      </autoSortScope>
    </pivotField>
    <pivotField name="Month_Nu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0"/>
  </rowFields>
  <colFields>
    <field x="-2"/>
  </colFields>
  <dataFields>
    <dataField name="SUM of M01AB" fld="1" baseField="0"/>
    <dataField name="SUM of M01AE" fld="2" baseField="0"/>
    <dataField name="SUM of N02BA" fld="3" baseField="0"/>
    <dataField name="SUM of N02BE" fld="4" baseField="0"/>
    <dataField name="SUM of N05B" fld="5" baseField="0"/>
    <dataField name="SUM of N05C" fld="6" baseField="0"/>
    <dataField name="SUM of N05C" fld="6" baseField="0"/>
    <dataField name="SUM of R03" fld="7" baseField="0"/>
    <dataField name="SUM of R06" fld="8" baseField="0"/>
    <dataField name="MIN of Month_Num" fld="11" subtotal="min" baseField="0"/>
  </dataFields>
</pivotTableDefinition>
</file>

<file path=xl/pivotTables/pivotTable3.xml><?xml version="1.0" encoding="utf-8"?>
<pivotTableDefinition xmlns="http://schemas.openxmlformats.org/spreadsheetml/2006/main" name="Category Share" cacheId="1" dataCaption="" compact="0" compactData="0">
  <location ref="A1:H2" firstHeaderRow="0" firstDataRow="1" firstDataCol="0"/>
  <pivotFields>
    <pivotField name="dat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M01A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M01A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N02B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N02B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N05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N05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0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06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colFields>
    <field x="-2"/>
  </colFields>
  <dataFields>
    <dataField name="SUM of M01AB" fld="1" baseField="0"/>
    <dataField name="SUM of M01AE" fld="2" baseField="0"/>
    <dataField name="SUM of N02BA" fld="3" baseField="0"/>
    <dataField name="SUM of N02BE" fld="4" baseField="0"/>
    <dataField name="SUM of N05B" fld="5" baseField="0"/>
    <dataField name="SUM of N05C" fld="6" baseField="0"/>
    <dataField name="SUM of R03" fld="7" baseField="0"/>
    <dataField name="SUM of R06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41670.0</v>
      </c>
      <c r="B2" s="1">
        <v>127.69</v>
      </c>
      <c r="C2" s="1">
        <v>99.09</v>
      </c>
      <c r="D2" s="1">
        <v>152.099999999999</v>
      </c>
      <c r="E2" s="1">
        <v>878.03</v>
      </c>
      <c r="F2" s="1">
        <v>354.0</v>
      </c>
      <c r="G2" s="1">
        <v>50.0</v>
      </c>
      <c r="H2" s="1">
        <v>112.0</v>
      </c>
      <c r="I2" s="1">
        <v>48.2</v>
      </c>
    </row>
    <row r="3">
      <c r="A3" s="3">
        <v>41698.0</v>
      </c>
      <c r="B3" s="1">
        <v>133.32</v>
      </c>
      <c r="C3" s="1">
        <v>126.05</v>
      </c>
      <c r="D3" s="1">
        <v>176.999999999999</v>
      </c>
      <c r="E3" s="1">
        <v>1001.9</v>
      </c>
      <c r="F3" s="1">
        <v>347.0</v>
      </c>
      <c r="G3" s="1">
        <v>31.0</v>
      </c>
      <c r="H3" s="1">
        <v>122.0</v>
      </c>
      <c r="I3" s="1">
        <v>36.2</v>
      </c>
    </row>
    <row r="4">
      <c r="A4" s="3">
        <v>41729.0</v>
      </c>
      <c r="B4" s="1">
        <v>137.44</v>
      </c>
      <c r="C4" s="1">
        <v>92.95</v>
      </c>
      <c r="D4" s="1">
        <v>147.655</v>
      </c>
      <c r="E4" s="1">
        <v>779.275</v>
      </c>
      <c r="F4" s="1">
        <v>232.0</v>
      </c>
      <c r="G4" s="1">
        <v>20.0</v>
      </c>
      <c r="H4" s="1">
        <v>112.0</v>
      </c>
      <c r="I4" s="1">
        <v>85.4</v>
      </c>
    </row>
    <row r="5">
      <c r="A5" s="3">
        <v>41759.0</v>
      </c>
      <c r="B5" s="1">
        <v>113.1</v>
      </c>
      <c r="C5" s="1">
        <v>89.475</v>
      </c>
      <c r="D5" s="1">
        <v>130.899999999999</v>
      </c>
      <c r="E5" s="1">
        <v>698.5</v>
      </c>
      <c r="F5" s="1">
        <v>209.0</v>
      </c>
      <c r="G5" s="1">
        <v>18.0</v>
      </c>
      <c r="H5" s="1">
        <v>97.0</v>
      </c>
      <c r="I5" s="1">
        <v>73.7</v>
      </c>
    </row>
    <row r="6">
      <c r="A6" s="3">
        <v>41790.0</v>
      </c>
      <c r="B6" s="1">
        <v>101.79</v>
      </c>
      <c r="C6" s="1">
        <v>119.933</v>
      </c>
      <c r="D6" s="1">
        <v>132.1</v>
      </c>
      <c r="E6" s="1">
        <v>628.78</v>
      </c>
      <c r="F6" s="1">
        <v>270.0</v>
      </c>
      <c r="G6" s="1">
        <v>23.0</v>
      </c>
      <c r="H6" s="1">
        <v>107.0</v>
      </c>
      <c r="I6" s="1">
        <v>123.699999999999</v>
      </c>
    </row>
    <row r="7">
      <c r="A7" s="3">
        <v>41820.0</v>
      </c>
      <c r="B7" s="1">
        <v>112.07</v>
      </c>
      <c r="C7" s="1">
        <v>94.71</v>
      </c>
      <c r="D7" s="1">
        <v>122.9</v>
      </c>
      <c r="E7" s="1">
        <v>548.225</v>
      </c>
      <c r="F7" s="1">
        <v>323.0</v>
      </c>
      <c r="G7" s="1">
        <v>23.0</v>
      </c>
      <c r="H7" s="1">
        <v>57.0</v>
      </c>
      <c r="I7" s="1">
        <v>109.3</v>
      </c>
    </row>
    <row r="8">
      <c r="A8" s="3">
        <v>41851.0</v>
      </c>
      <c r="B8" s="1">
        <v>117.06</v>
      </c>
      <c r="C8" s="1">
        <v>95.0100000000001</v>
      </c>
      <c r="D8" s="1">
        <v>129.3</v>
      </c>
      <c r="E8" s="1">
        <v>491.9</v>
      </c>
      <c r="F8" s="1">
        <v>348.0</v>
      </c>
      <c r="G8" s="1">
        <v>21.0</v>
      </c>
      <c r="H8" s="1">
        <v>61.0</v>
      </c>
      <c r="I8" s="1">
        <v>69.1</v>
      </c>
    </row>
    <row r="9">
      <c r="A9" s="3">
        <v>41882.0</v>
      </c>
      <c r="B9" s="1">
        <v>134.79</v>
      </c>
      <c r="C9" s="1">
        <v>99.7800000000001</v>
      </c>
      <c r="D9" s="1">
        <v>123.8</v>
      </c>
      <c r="E9" s="1">
        <v>583.849999999999</v>
      </c>
      <c r="F9" s="1">
        <v>420.0</v>
      </c>
      <c r="G9" s="1">
        <v>29.0</v>
      </c>
      <c r="H9" s="1">
        <v>37.0</v>
      </c>
      <c r="I9" s="1">
        <v>70.8</v>
      </c>
    </row>
    <row r="10">
      <c r="A10" s="3">
        <v>41912.0</v>
      </c>
      <c r="B10" s="1">
        <v>108.78</v>
      </c>
      <c r="C10" s="1">
        <v>109.094</v>
      </c>
      <c r="D10" s="1">
        <v>122.099999999999</v>
      </c>
      <c r="E10" s="1">
        <v>887.819999999999</v>
      </c>
      <c r="F10" s="1">
        <v>399.0</v>
      </c>
      <c r="G10" s="1">
        <v>14.0</v>
      </c>
      <c r="H10" s="1">
        <v>115.0</v>
      </c>
      <c r="I10" s="1">
        <v>58.8</v>
      </c>
    </row>
    <row r="11">
      <c r="A11" s="3">
        <v>41943.0</v>
      </c>
      <c r="B11" s="1">
        <v>154.75</v>
      </c>
      <c r="C11" s="1">
        <v>185.241</v>
      </c>
      <c r="D11" s="1">
        <v>191.599999999999</v>
      </c>
      <c r="E11" s="1">
        <v>1856.81499999999</v>
      </c>
      <c r="F11" s="1">
        <v>472.0</v>
      </c>
      <c r="G11" s="1">
        <v>30.0</v>
      </c>
      <c r="H11" s="1">
        <v>182.0</v>
      </c>
      <c r="I11" s="1">
        <v>74.5</v>
      </c>
    </row>
    <row r="12">
      <c r="A12" s="3">
        <v>41973.0</v>
      </c>
      <c r="B12" s="1">
        <v>138.08</v>
      </c>
      <c r="C12" s="1">
        <v>100.86</v>
      </c>
      <c r="D12" s="1">
        <v>142.7</v>
      </c>
      <c r="E12" s="1">
        <v>723.8</v>
      </c>
      <c r="F12" s="1">
        <v>489.0</v>
      </c>
      <c r="G12" s="1">
        <v>19.0</v>
      </c>
      <c r="H12" s="1">
        <v>112.0</v>
      </c>
      <c r="I12" s="1">
        <v>45.2</v>
      </c>
    </row>
    <row r="13">
      <c r="A13" s="3">
        <v>42004.0</v>
      </c>
      <c r="B13" s="1">
        <v>131.9</v>
      </c>
      <c r="C13" s="1">
        <v>121.401</v>
      </c>
      <c r="D13" s="1">
        <v>111.124</v>
      </c>
      <c r="E13" s="1">
        <v>1015.66</v>
      </c>
      <c r="F13" s="1">
        <v>492.0</v>
      </c>
      <c r="G13" s="1">
        <v>25.0</v>
      </c>
      <c r="H13" s="1">
        <v>163.0</v>
      </c>
      <c r="I13" s="1">
        <v>33.4</v>
      </c>
    </row>
    <row r="14">
      <c r="A14" s="3">
        <v>42035.0</v>
      </c>
      <c r="B14" s="1">
        <v>135.91</v>
      </c>
      <c r="C14" s="1">
        <v>130.349</v>
      </c>
      <c r="D14" s="1">
        <v>141.0</v>
      </c>
      <c r="E14" s="1">
        <v>1044.24</v>
      </c>
      <c r="F14" s="1">
        <v>463.0</v>
      </c>
      <c r="G14" s="1">
        <v>24.0</v>
      </c>
      <c r="H14" s="1">
        <v>177.25</v>
      </c>
      <c r="I14" s="1">
        <v>42.0</v>
      </c>
    </row>
    <row r="15">
      <c r="A15" s="3">
        <v>42063.0</v>
      </c>
      <c r="B15" s="1">
        <v>115.71</v>
      </c>
      <c r="C15" s="1">
        <v>123.739999999999</v>
      </c>
      <c r="D15" s="1">
        <v>131.83</v>
      </c>
      <c r="E15" s="1">
        <v>953.252</v>
      </c>
      <c r="F15" s="1">
        <v>243.0</v>
      </c>
      <c r="G15" s="1">
        <v>9.0</v>
      </c>
      <c r="H15" s="1">
        <v>208.0</v>
      </c>
      <c r="I15" s="1">
        <v>47.0</v>
      </c>
    </row>
    <row r="16">
      <c r="A16" s="3">
        <v>42094.0</v>
      </c>
      <c r="B16" s="1">
        <v>156.04</v>
      </c>
      <c r="C16" s="1">
        <v>129.385999999999</v>
      </c>
      <c r="D16" s="1">
        <v>133.8</v>
      </c>
      <c r="E16" s="1">
        <v>1084.85</v>
      </c>
      <c r="F16" s="1">
        <v>208.0</v>
      </c>
      <c r="G16" s="1">
        <v>13.0</v>
      </c>
      <c r="H16" s="1">
        <v>195.0</v>
      </c>
      <c r="I16" s="1">
        <v>54.0</v>
      </c>
    </row>
    <row r="17">
      <c r="A17" s="3">
        <v>42124.0</v>
      </c>
      <c r="B17" s="1">
        <v>154.5</v>
      </c>
      <c r="C17" s="1">
        <v>101.115</v>
      </c>
      <c r="D17" s="1">
        <v>122.1</v>
      </c>
      <c r="E17" s="1">
        <v>940.17</v>
      </c>
      <c r="F17" s="1">
        <v>192.0</v>
      </c>
      <c r="G17" s="1">
        <v>5.0</v>
      </c>
      <c r="H17" s="1">
        <v>97.0</v>
      </c>
      <c r="I17" s="1">
        <v>112.0</v>
      </c>
    </row>
    <row r="18">
      <c r="A18" s="3">
        <v>42155.0</v>
      </c>
      <c r="B18" s="1">
        <v>160.02</v>
      </c>
      <c r="C18" s="1">
        <v>119.117</v>
      </c>
      <c r="D18" s="1">
        <v>136.04</v>
      </c>
      <c r="E18" s="1">
        <v>765.9</v>
      </c>
      <c r="F18" s="1">
        <v>194.0</v>
      </c>
      <c r="G18" s="1">
        <v>10.0</v>
      </c>
      <c r="H18" s="1">
        <v>100.0</v>
      </c>
      <c r="I18" s="1">
        <v>159.5</v>
      </c>
    </row>
    <row r="19">
      <c r="A19" s="3">
        <v>42185.0</v>
      </c>
      <c r="B19" s="1">
        <v>151.87</v>
      </c>
      <c r="C19" s="1">
        <v>113.69</v>
      </c>
      <c r="D19" s="1">
        <v>145.46</v>
      </c>
      <c r="E19" s="1">
        <v>746.788</v>
      </c>
      <c r="F19" s="1">
        <v>217.0</v>
      </c>
      <c r="G19" s="1">
        <v>12.0</v>
      </c>
      <c r="H19" s="1">
        <v>193.0</v>
      </c>
      <c r="I19" s="1">
        <v>125.799999999999</v>
      </c>
    </row>
    <row r="20">
      <c r="A20" s="3">
        <v>42216.0</v>
      </c>
      <c r="B20" s="1">
        <v>175.61</v>
      </c>
      <c r="C20" s="1">
        <v>113.81</v>
      </c>
      <c r="D20" s="1">
        <v>125.5</v>
      </c>
      <c r="E20" s="1">
        <v>708.828</v>
      </c>
      <c r="F20" s="1">
        <v>203.0</v>
      </c>
      <c r="G20" s="1">
        <v>6.0</v>
      </c>
      <c r="H20" s="1">
        <v>60.0</v>
      </c>
      <c r="I20" s="1">
        <v>130.3</v>
      </c>
    </row>
    <row r="21">
      <c r="A21" s="3">
        <v>42247.0</v>
      </c>
      <c r="B21" s="1">
        <v>181.69</v>
      </c>
      <c r="C21" s="1">
        <v>144.519</v>
      </c>
      <c r="D21" s="1">
        <v>133.4</v>
      </c>
      <c r="E21" s="1">
        <v>790.788</v>
      </c>
      <c r="F21" s="1">
        <v>265.5</v>
      </c>
      <c r="G21" s="1">
        <v>15.0</v>
      </c>
      <c r="H21" s="1">
        <v>45.0</v>
      </c>
      <c r="I21" s="1">
        <v>83.7</v>
      </c>
    </row>
    <row r="22">
      <c r="A22" s="3">
        <v>42277.0</v>
      </c>
      <c r="B22" s="1">
        <v>166.22</v>
      </c>
      <c r="C22" s="1">
        <v>134.122</v>
      </c>
      <c r="D22" s="1">
        <v>110.4</v>
      </c>
      <c r="E22" s="1">
        <v>852.125</v>
      </c>
      <c r="F22" s="1">
        <v>243.5</v>
      </c>
      <c r="G22" s="1">
        <v>11.0</v>
      </c>
      <c r="H22" s="1">
        <v>91.0</v>
      </c>
      <c r="I22" s="1">
        <v>71.0</v>
      </c>
    </row>
    <row r="23">
      <c r="A23" s="3">
        <v>42308.0</v>
      </c>
      <c r="B23" s="1">
        <v>195.81</v>
      </c>
      <c r="C23" s="1">
        <v>127.230999999999</v>
      </c>
      <c r="D23" s="1">
        <v>146.2</v>
      </c>
      <c r="E23" s="1">
        <v>1574.335</v>
      </c>
      <c r="F23" s="1">
        <v>222.0</v>
      </c>
      <c r="G23" s="1">
        <v>8.0</v>
      </c>
      <c r="H23" s="1">
        <v>184.0</v>
      </c>
      <c r="I23" s="1">
        <v>72.0</v>
      </c>
    </row>
    <row r="24">
      <c r="A24" s="3">
        <v>42338.0</v>
      </c>
      <c r="B24" s="1">
        <v>152.78</v>
      </c>
      <c r="C24" s="1">
        <v>128.233</v>
      </c>
      <c r="D24" s="1">
        <v>145.9</v>
      </c>
      <c r="E24" s="1">
        <v>1277.725</v>
      </c>
      <c r="F24" s="1">
        <v>228.0</v>
      </c>
      <c r="G24" s="1">
        <v>18.0</v>
      </c>
      <c r="H24" s="1">
        <v>195.0</v>
      </c>
      <c r="I24" s="1">
        <v>44.0</v>
      </c>
    </row>
    <row r="25">
      <c r="A25" s="3">
        <v>42369.0</v>
      </c>
      <c r="B25" s="1">
        <v>159.46</v>
      </c>
      <c r="C25" s="1">
        <v>131.291</v>
      </c>
      <c r="D25" s="1">
        <v>136.999999999999</v>
      </c>
      <c r="E25" s="1">
        <v>1258.349</v>
      </c>
      <c r="F25" s="1">
        <v>286.0</v>
      </c>
      <c r="G25" s="1">
        <v>28.0</v>
      </c>
      <c r="H25" s="1">
        <v>231.0</v>
      </c>
      <c r="I25" s="1">
        <v>41.73</v>
      </c>
    </row>
    <row r="26">
      <c r="A26" s="3">
        <v>42400.0</v>
      </c>
      <c r="B26" s="1">
        <v>171.65</v>
      </c>
      <c r="C26" s="1">
        <v>128.402</v>
      </c>
      <c r="D26" s="1">
        <v>172.499999999999</v>
      </c>
      <c r="E26" s="1">
        <v>1476.324</v>
      </c>
      <c r="F26" s="1">
        <v>248.0</v>
      </c>
      <c r="G26" s="1">
        <v>24.0</v>
      </c>
      <c r="H26" s="1">
        <v>174.0</v>
      </c>
      <c r="I26" s="1">
        <v>56.5</v>
      </c>
    </row>
    <row r="27">
      <c r="A27" s="3">
        <v>42429.0</v>
      </c>
      <c r="B27" s="1">
        <v>173.81</v>
      </c>
      <c r="C27" s="1">
        <v>137.528</v>
      </c>
      <c r="D27" s="1">
        <v>134.2</v>
      </c>
      <c r="E27" s="1">
        <v>1224.862</v>
      </c>
      <c r="F27" s="1">
        <v>239.0</v>
      </c>
      <c r="G27" s="1">
        <v>20.0</v>
      </c>
      <c r="H27" s="1">
        <v>245.0</v>
      </c>
      <c r="I27" s="1">
        <v>58.0</v>
      </c>
    </row>
    <row r="28">
      <c r="A28" s="3">
        <v>42460.0</v>
      </c>
      <c r="B28" s="1">
        <v>156.64</v>
      </c>
      <c r="C28" s="1">
        <v>180.589</v>
      </c>
      <c r="D28" s="1">
        <v>148.4</v>
      </c>
      <c r="E28" s="1">
        <v>1150.7</v>
      </c>
      <c r="F28" s="1">
        <v>250.0</v>
      </c>
      <c r="G28" s="1">
        <v>13.0</v>
      </c>
      <c r="H28" s="1">
        <v>253.0</v>
      </c>
      <c r="I28" s="1">
        <v>97.84</v>
      </c>
    </row>
    <row r="29">
      <c r="A29" s="3">
        <v>42490.0</v>
      </c>
      <c r="B29" s="1">
        <v>166.61</v>
      </c>
      <c r="C29" s="1">
        <v>146.526</v>
      </c>
      <c r="D29" s="1">
        <v>147.7</v>
      </c>
      <c r="E29" s="1">
        <v>998.337</v>
      </c>
      <c r="F29" s="1">
        <v>318.0</v>
      </c>
      <c r="G29" s="1">
        <v>18.0</v>
      </c>
      <c r="H29" s="1">
        <v>216.0</v>
      </c>
      <c r="I29" s="1">
        <v>162.399999999999</v>
      </c>
    </row>
    <row r="30">
      <c r="A30" s="3">
        <v>42521.0</v>
      </c>
      <c r="B30" s="1">
        <v>167.36</v>
      </c>
      <c r="C30" s="1">
        <v>120.860999999999</v>
      </c>
      <c r="D30" s="1">
        <v>130.549999999999</v>
      </c>
      <c r="E30" s="1">
        <v>997.15</v>
      </c>
      <c r="F30" s="1">
        <v>275.0</v>
      </c>
      <c r="G30" s="1">
        <v>18.0</v>
      </c>
      <c r="H30" s="1">
        <v>131.0</v>
      </c>
      <c r="I30" s="1">
        <v>137.1</v>
      </c>
    </row>
    <row r="31">
      <c r="A31" s="3">
        <v>42551.0</v>
      </c>
      <c r="B31" s="1">
        <v>169.67</v>
      </c>
      <c r="C31" s="1">
        <v>114.961</v>
      </c>
      <c r="D31" s="1">
        <v>117.75</v>
      </c>
      <c r="E31" s="1">
        <v>760.05</v>
      </c>
      <c r="F31" s="1">
        <v>311.0</v>
      </c>
      <c r="G31" s="1">
        <v>20.0</v>
      </c>
      <c r="H31" s="1">
        <v>127.0</v>
      </c>
      <c r="I31" s="1">
        <v>134.8</v>
      </c>
    </row>
    <row r="32">
      <c r="A32" s="3">
        <v>42582.0</v>
      </c>
      <c r="B32" s="1">
        <v>203.97</v>
      </c>
      <c r="C32" s="1">
        <v>141.019</v>
      </c>
      <c r="D32" s="1">
        <v>137.899999999999</v>
      </c>
      <c r="E32" s="1">
        <v>652.361999999999</v>
      </c>
      <c r="F32" s="1">
        <v>240.0</v>
      </c>
      <c r="G32" s="1">
        <v>8.0</v>
      </c>
      <c r="H32" s="1">
        <v>109.0</v>
      </c>
      <c r="I32" s="1">
        <v>116.83</v>
      </c>
    </row>
    <row r="33">
      <c r="A33" s="3">
        <v>42613.0</v>
      </c>
      <c r="B33" s="1">
        <v>211.13</v>
      </c>
      <c r="C33" s="1">
        <v>114.374999999999</v>
      </c>
      <c r="D33" s="1">
        <v>132.7</v>
      </c>
      <c r="E33" s="1">
        <v>753.05</v>
      </c>
      <c r="F33" s="1">
        <v>275.5</v>
      </c>
      <c r="G33" s="1">
        <v>12.0</v>
      </c>
      <c r="H33" s="1">
        <v>116.0</v>
      </c>
      <c r="I33" s="1">
        <v>85.3</v>
      </c>
    </row>
    <row r="34">
      <c r="A34" s="3">
        <v>42643.0</v>
      </c>
      <c r="B34" s="1">
        <v>172.96</v>
      </c>
      <c r="C34" s="1">
        <v>126.217999999999</v>
      </c>
      <c r="D34" s="1">
        <v>116.7</v>
      </c>
      <c r="E34" s="1">
        <v>1118.699</v>
      </c>
      <c r="F34" s="1">
        <v>307.0</v>
      </c>
      <c r="G34" s="1">
        <v>18.0</v>
      </c>
      <c r="H34" s="1">
        <v>121.0</v>
      </c>
      <c r="I34" s="1">
        <v>69.3</v>
      </c>
    </row>
    <row r="35">
      <c r="A35" s="3">
        <v>42674.0</v>
      </c>
      <c r="B35" s="1">
        <v>186.76</v>
      </c>
      <c r="C35" s="1">
        <v>142.056</v>
      </c>
      <c r="D35" s="1">
        <v>160.15</v>
      </c>
      <c r="E35" s="1">
        <v>1617.275</v>
      </c>
      <c r="F35" s="1">
        <v>312.0</v>
      </c>
      <c r="G35" s="1">
        <v>11.0</v>
      </c>
      <c r="H35" s="1">
        <v>220.0</v>
      </c>
      <c r="I35" s="1">
        <v>60.9</v>
      </c>
    </row>
    <row r="36">
      <c r="A36" s="3">
        <v>42704.0</v>
      </c>
      <c r="B36" s="1">
        <v>175.18</v>
      </c>
      <c r="C36" s="1">
        <v>116.849999999999</v>
      </c>
      <c r="D36" s="1">
        <v>133.85</v>
      </c>
      <c r="E36" s="1">
        <v>1062.686</v>
      </c>
      <c r="F36" s="1">
        <v>246.0</v>
      </c>
      <c r="G36" s="1">
        <v>27.0</v>
      </c>
      <c r="H36" s="1">
        <v>150.0</v>
      </c>
      <c r="I36" s="1">
        <v>51.1999999999999</v>
      </c>
    </row>
    <row r="37">
      <c r="A37" s="3">
        <v>42735.0</v>
      </c>
      <c r="B37" s="1">
        <v>169.32</v>
      </c>
      <c r="C37" s="1">
        <v>135.056</v>
      </c>
      <c r="D37" s="1">
        <v>132.399999999999</v>
      </c>
      <c r="E37" s="1">
        <v>1624.335</v>
      </c>
      <c r="F37" s="1">
        <v>257.0</v>
      </c>
      <c r="G37" s="1">
        <v>18.0</v>
      </c>
      <c r="H37" s="1">
        <v>275.0</v>
      </c>
      <c r="I37" s="1">
        <v>34.9</v>
      </c>
    </row>
    <row r="38">
      <c r="A38" s="3">
        <v>42766.0</v>
      </c>
      <c r="B38" s="1">
        <v>0.0</v>
      </c>
      <c r="C38" s="1">
        <v>0.0</v>
      </c>
      <c r="D38" s="1">
        <v>0.0</v>
      </c>
      <c r="E38" s="1">
        <v>0.0</v>
      </c>
      <c r="F38" s="1">
        <v>1.0</v>
      </c>
      <c r="G38" s="1">
        <v>0.0</v>
      </c>
      <c r="H38" s="1">
        <v>0.0</v>
      </c>
      <c r="I38" s="1">
        <v>0.0</v>
      </c>
    </row>
    <row r="39">
      <c r="A39" s="3">
        <v>42794.0</v>
      </c>
      <c r="B39" s="1">
        <v>139.69</v>
      </c>
      <c r="C39" s="1">
        <v>103.517</v>
      </c>
      <c r="D39" s="1">
        <v>97.0</v>
      </c>
      <c r="E39" s="1">
        <v>526.35</v>
      </c>
      <c r="F39" s="1">
        <v>144.0</v>
      </c>
      <c r="G39" s="1">
        <v>7.0</v>
      </c>
      <c r="H39" s="1">
        <v>117.0</v>
      </c>
      <c r="I39" s="1">
        <v>30.6</v>
      </c>
    </row>
    <row r="40">
      <c r="A40" s="3">
        <v>42825.0</v>
      </c>
      <c r="B40" s="1">
        <v>162.85</v>
      </c>
      <c r="C40" s="1">
        <v>111.055</v>
      </c>
      <c r="D40" s="1">
        <v>107.35</v>
      </c>
      <c r="E40" s="1">
        <v>612.5</v>
      </c>
      <c r="F40" s="1">
        <v>165.0</v>
      </c>
      <c r="G40" s="1">
        <v>9.0</v>
      </c>
      <c r="H40" s="1">
        <v>139.0</v>
      </c>
      <c r="I40" s="1">
        <v>100.1</v>
      </c>
    </row>
    <row r="41">
      <c r="A41" s="3">
        <v>42855.0</v>
      </c>
      <c r="B41" s="1">
        <v>155.61</v>
      </c>
      <c r="C41" s="1">
        <v>101.215</v>
      </c>
      <c r="D41" s="1">
        <v>100.5</v>
      </c>
      <c r="E41" s="1">
        <v>540.199999999999</v>
      </c>
      <c r="F41" s="1">
        <v>132.0</v>
      </c>
      <c r="G41" s="1">
        <v>9.0</v>
      </c>
      <c r="H41" s="1">
        <v>209.0</v>
      </c>
      <c r="I41" s="1">
        <v>122.399999999999</v>
      </c>
    </row>
    <row r="42">
      <c r="A42" s="3">
        <v>42886.0</v>
      </c>
      <c r="B42" s="1">
        <v>143.66</v>
      </c>
      <c r="C42" s="1">
        <v>118.125</v>
      </c>
      <c r="D42" s="1">
        <v>98.95</v>
      </c>
      <c r="E42" s="1">
        <v>547.939999999999</v>
      </c>
      <c r="F42" s="1">
        <v>148.0</v>
      </c>
      <c r="G42" s="1">
        <v>23.0</v>
      </c>
      <c r="H42" s="1">
        <v>128.0</v>
      </c>
      <c r="I42" s="1">
        <v>161.81</v>
      </c>
    </row>
    <row r="43">
      <c r="A43" s="3">
        <v>42916.0</v>
      </c>
      <c r="B43" s="1">
        <v>122.33</v>
      </c>
      <c r="C43" s="1">
        <v>103.005999999999</v>
      </c>
      <c r="D43" s="1">
        <v>119.6</v>
      </c>
      <c r="E43" s="1">
        <v>496.1</v>
      </c>
      <c r="F43" s="1">
        <v>163.0</v>
      </c>
      <c r="G43" s="1">
        <v>8.0</v>
      </c>
      <c r="H43" s="1">
        <v>163.0</v>
      </c>
      <c r="I43" s="1">
        <v>151.899999999999</v>
      </c>
    </row>
    <row r="44">
      <c r="A44" s="3">
        <v>42947.0</v>
      </c>
      <c r="B44" s="1">
        <v>159.67</v>
      </c>
      <c r="C44" s="1">
        <v>116.206</v>
      </c>
      <c r="D44" s="1">
        <v>75.1999999999999</v>
      </c>
      <c r="E44" s="1">
        <v>479.349999999999</v>
      </c>
      <c r="F44" s="1">
        <v>219.0</v>
      </c>
      <c r="G44" s="1">
        <v>15.0</v>
      </c>
      <c r="H44" s="1">
        <v>115.0</v>
      </c>
      <c r="I44" s="1">
        <v>81.1</v>
      </c>
    </row>
    <row r="45">
      <c r="A45" s="3">
        <v>42978.0</v>
      </c>
      <c r="B45" s="1">
        <v>170.149999999999</v>
      </c>
      <c r="C45" s="1">
        <v>112.47</v>
      </c>
      <c r="D45" s="1">
        <v>84.4</v>
      </c>
      <c r="E45" s="1">
        <v>549.3</v>
      </c>
      <c r="F45" s="1">
        <v>239.0</v>
      </c>
      <c r="G45" s="1">
        <v>12.0</v>
      </c>
      <c r="H45" s="1">
        <v>75.0</v>
      </c>
      <c r="I45" s="1">
        <v>60.1</v>
      </c>
    </row>
    <row r="46">
      <c r="A46" s="3">
        <v>43008.0</v>
      </c>
      <c r="B46" s="1">
        <v>138.33</v>
      </c>
      <c r="C46" s="1">
        <v>118.711</v>
      </c>
      <c r="D46" s="1">
        <v>88.1499999999999</v>
      </c>
      <c r="E46" s="1">
        <v>863.75</v>
      </c>
      <c r="F46" s="1">
        <v>223.0</v>
      </c>
      <c r="G46" s="1">
        <v>23.0</v>
      </c>
      <c r="H46" s="1">
        <v>139.0</v>
      </c>
      <c r="I46" s="1">
        <v>66.9</v>
      </c>
    </row>
    <row r="47">
      <c r="A47" s="3">
        <v>43039.0</v>
      </c>
      <c r="B47" s="1">
        <v>137.64</v>
      </c>
      <c r="C47" s="1">
        <v>88.737</v>
      </c>
      <c r="D47" s="1">
        <v>100.399999999999</v>
      </c>
      <c r="E47" s="1">
        <v>1184.35</v>
      </c>
      <c r="F47" s="1">
        <v>226.0</v>
      </c>
      <c r="G47" s="1">
        <v>15.0</v>
      </c>
      <c r="H47" s="1">
        <v>247.0</v>
      </c>
      <c r="I47" s="1">
        <v>51.0</v>
      </c>
    </row>
    <row r="48">
      <c r="A48" s="3">
        <v>43069.0</v>
      </c>
      <c r="B48" s="1">
        <v>163.85</v>
      </c>
      <c r="C48" s="1">
        <v>119.78</v>
      </c>
      <c r="D48" s="1">
        <v>104.45</v>
      </c>
      <c r="E48" s="1">
        <v>867.899</v>
      </c>
      <c r="F48" s="1">
        <v>192.0</v>
      </c>
      <c r="G48" s="1">
        <v>15.0</v>
      </c>
      <c r="H48" s="1">
        <v>196.0</v>
      </c>
      <c r="I48" s="1">
        <v>46.5999999999999</v>
      </c>
    </row>
    <row r="49">
      <c r="A49" s="3">
        <v>43100.0</v>
      </c>
      <c r="B49" s="1">
        <v>160.01</v>
      </c>
      <c r="C49" s="1">
        <v>121.663</v>
      </c>
      <c r="D49" s="1">
        <v>115.149999999999</v>
      </c>
      <c r="E49" s="1">
        <v>1007.18</v>
      </c>
      <c r="F49" s="1">
        <v>226.0</v>
      </c>
      <c r="G49" s="1">
        <v>6.0</v>
      </c>
      <c r="H49" s="1">
        <v>204.0</v>
      </c>
      <c r="I49" s="1">
        <v>47.1</v>
      </c>
    </row>
    <row r="50">
      <c r="A50" s="3">
        <v>43131.0</v>
      </c>
      <c r="B50" s="1">
        <v>132.28</v>
      </c>
      <c r="C50" s="1">
        <v>109.445999999999</v>
      </c>
      <c r="D50" s="1">
        <v>101.149999999999</v>
      </c>
      <c r="E50" s="1">
        <v>1134.325</v>
      </c>
      <c r="F50" s="1">
        <v>229.0</v>
      </c>
      <c r="G50" s="1">
        <v>11.0</v>
      </c>
      <c r="H50" s="1">
        <v>219.0</v>
      </c>
      <c r="I50" s="1">
        <v>49.5</v>
      </c>
    </row>
    <row r="51">
      <c r="A51" s="3">
        <v>43159.0</v>
      </c>
      <c r="B51" s="1">
        <v>128.36</v>
      </c>
      <c r="C51" s="1">
        <v>132.804</v>
      </c>
      <c r="D51" s="1">
        <v>114.65</v>
      </c>
      <c r="E51" s="1">
        <v>1255.374</v>
      </c>
      <c r="F51" s="1">
        <v>268.0</v>
      </c>
      <c r="G51" s="1">
        <v>12.0</v>
      </c>
      <c r="H51" s="1">
        <v>253.0</v>
      </c>
      <c r="I51" s="1">
        <v>39.06</v>
      </c>
    </row>
    <row r="52">
      <c r="A52" s="3">
        <v>43190.0</v>
      </c>
      <c r="B52" s="1">
        <v>146.16</v>
      </c>
      <c r="C52" s="1">
        <v>111.764</v>
      </c>
      <c r="D52" s="1">
        <v>122.3</v>
      </c>
      <c r="E52" s="1">
        <v>999.123</v>
      </c>
      <c r="F52" s="1">
        <v>381.0</v>
      </c>
      <c r="G52" s="1">
        <v>42.0</v>
      </c>
      <c r="H52" s="1">
        <v>269.0</v>
      </c>
      <c r="I52" s="1">
        <v>85.5</v>
      </c>
    </row>
    <row r="53">
      <c r="A53" s="3">
        <v>43220.0</v>
      </c>
      <c r="B53" s="1">
        <v>170.02</v>
      </c>
      <c r="C53" s="1">
        <v>107.723</v>
      </c>
      <c r="D53" s="1">
        <v>84.6</v>
      </c>
      <c r="E53" s="1">
        <v>836.036999999999</v>
      </c>
      <c r="F53" s="1">
        <v>289.0</v>
      </c>
      <c r="G53" s="1">
        <v>21.0</v>
      </c>
      <c r="H53" s="1">
        <v>229.0</v>
      </c>
      <c r="I53" s="1">
        <v>197.1</v>
      </c>
    </row>
    <row r="54">
      <c r="A54" s="3">
        <v>43251.0</v>
      </c>
      <c r="B54" s="1">
        <v>160.52</v>
      </c>
      <c r="C54" s="1">
        <v>103.521999999999</v>
      </c>
      <c r="D54" s="1">
        <v>89.3999999999999</v>
      </c>
      <c r="E54" s="1">
        <v>644.648</v>
      </c>
      <c r="F54" s="1">
        <v>259.0</v>
      </c>
      <c r="G54" s="1">
        <v>13.0</v>
      </c>
      <c r="H54" s="1">
        <v>192.0</v>
      </c>
      <c r="I54" s="1">
        <v>213.04</v>
      </c>
    </row>
    <row r="55">
      <c r="A55" s="3">
        <v>43281.0</v>
      </c>
      <c r="B55" s="1">
        <v>141.18</v>
      </c>
      <c r="C55" s="1">
        <v>114.226</v>
      </c>
      <c r="D55" s="1">
        <v>86.8</v>
      </c>
      <c r="E55" s="1">
        <v>584.343</v>
      </c>
      <c r="F55" s="1">
        <v>248.0</v>
      </c>
      <c r="G55" s="1">
        <v>18.0</v>
      </c>
      <c r="H55" s="1">
        <v>101.0</v>
      </c>
      <c r="I55" s="1">
        <v>120.8</v>
      </c>
    </row>
    <row r="56">
      <c r="A56" s="3">
        <v>43312.0</v>
      </c>
      <c r="B56" s="1">
        <v>150.18</v>
      </c>
      <c r="C56" s="1">
        <v>132.549</v>
      </c>
      <c r="D56" s="1">
        <v>87.2</v>
      </c>
      <c r="E56" s="1">
        <v>679.349999999999</v>
      </c>
      <c r="F56" s="1">
        <v>283.0</v>
      </c>
      <c r="G56" s="1">
        <v>19.0</v>
      </c>
      <c r="H56" s="1">
        <v>90.0</v>
      </c>
      <c r="I56" s="1">
        <v>122.2</v>
      </c>
    </row>
    <row r="57">
      <c r="A57" s="3">
        <v>43343.0</v>
      </c>
      <c r="B57" s="1">
        <v>140.0</v>
      </c>
      <c r="C57" s="1">
        <v>114.719</v>
      </c>
      <c r="D57" s="1">
        <v>88.25</v>
      </c>
      <c r="E57" s="1">
        <v>733.838</v>
      </c>
      <c r="F57" s="1">
        <v>253.0</v>
      </c>
      <c r="G57" s="1">
        <v>20.0</v>
      </c>
      <c r="H57" s="1">
        <v>159.0</v>
      </c>
      <c r="I57" s="1">
        <v>103.1</v>
      </c>
    </row>
    <row r="58">
      <c r="A58" s="3">
        <v>43373.0</v>
      </c>
      <c r="B58" s="1">
        <v>153.52</v>
      </c>
      <c r="C58" s="1">
        <v>114.992</v>
      </c>
      <c r="D58" s="1">
        <v>86.5</v>
      </c>
      <c r="E58" s="1">
        <v>1058.262</v>
      </c>
      <c r="F58" s="1">
        <v>263.0</v>
      </c>
      <c r="G58" s="1">
        <v>12.0</v>
      </c>
      <c r="H58" s="1">
        <v>205.0</v>
      </c>
      <c r="I58" s="1">
        <v>88.1</v>
      </c>
    </row>
    <row r="59">
      <c r="A59" s="3">
        <v>43404.0</v>
      </c>
      <c r="B59" s="1">
        <v>144.71</v>
      </c>
      <c r="C59" s="1">
        <v>129.4</v>
      </c>
      <c r="D59" s="1">
        <v>76.05</v>
      </c>
      <c r="E59" s="1">
        <v>1129.27499999999</v>
      </c>
      <c r="F59" s="1">
        <v>287.0</v>
      </c>
      <c r="G59" s="1">
        <v>25.0</v>
      </c>
      <c r="H59" s="1">
        <v>353.0</v>
      </c>
      <c r="I59" s="1">
        <v>76.9</v>
      </c>
    </row>
    <row r="60">
      <c r="A60" s="3">
        <v>43434.0</v>
      </c>
      <c r="B60" s="1">
        <v>172.29</v>
      </c>
      <c r="C60" s="1">
        <v>105.487</v>
      </c>
      <c r="D60" s="1">
        <v>102.149999999999</v>
      </c>
      <c r="E60" s="1">
        <v>995.15</v>
      </c>
      <c r="F60" s="1">
        <v>252.2</v>
      </c>
      <c r="G60" s="1">
        <v>22.0</v>
      </c>
      <c r="H60" s="1">
        <v>311.0</v>
      </c>
      <c r="I60" s="1">
        <v>48.4</v>
      </c>
    </row>
    <row r="61">
      <c r="A61" s="3">
        <v>43465.0</v>
      </c>
      <c r="B61" s="1">
        <v>147.71</v>
      </c>
      <c r="C61" s="1">
        <v>113.024</v>
      </c>
      <c r="D61" s="1">
        <v>84.75</v>
      </c>
      <c r="E61" s="1">
        <v>1213.95</v>
      </c>
      <c r="F61" s="1">
        <v>254.0</v>
      </c>
      <c r="G61" s="1">
        <v>27.0</v>
      </c>
      <c r="H61" s="1">
        <v>384.0</v>
      </c>
      <c r="I61" s="1">
        <v>53.0999999999999</v>
      </c>
    </row>
    <row r="62">
      <c r="A62" s="3">
        <v>43496.0</v>
      </c>
      <c r="B62" s="1">
        <v>179.7</v>
      </c>
      <c r="C62" s="1">
        <v>222.351</v>
      </c>
      <c r="D62" s="1">
        <v>99.6999999999999</v>
      </c>
      <c r="E62" s="1">
        <v>1660.612</v>
      </c>
      <c r="F62" s="1">
        <v>295.2</v>
      </c>
      <c r="G62" s="1">
        <v>23.0</v>
      </c>
      <c r="H62" s="1">
        <v>386.0</v>
      </c>
      <c r="I62" s="1">
        <v>41.3</v>
      </c>
    </row>
    <row r="63">
      <c r="A63" s="3">
        <v>43524.0</v>
      </c>
      <c r="B63" s="1">
        <v>133.73</v>
      </c>
      <c r="C63" s="1">
        <v>142.155</v>
      </c>
      <c r="D63" s="1">
        <v>110.199999999999</v>
      </c>
      <c r="E63" s="1">
        <v>1001.212</v>
      </c>
      <c r="F63" s="1">
        <v>249.399999999999</v>
      </c>
      <c r="G63" s="1">
        <v>12.0</v>
      </c>
      <c r="H63" s="1">
        <v>226.0</v>
      </c>
      <c r="I63" s="1">
        <v>69.5</v>
      </c>
    </row>
    <row r="64">
      <c r="A64" s="3">
        <v>43555.0</v>
      </c>
      <c r="B64" s="1">
        <v>154.52</v>
      </c>
      <c r="C64" s="1">
        <v>113.118</v>
      </c>
      <c r="D64" s="1">
        <v>83.35</v>
      </c>
      <c r="E64" s="1">
        <v>941.05</v>
      </c>
      <c r="F64" s="1">
        <v>301.4</v>
      </c>
      <c r="G64" s="1">
        <v>19.0</v>
      </c>
      <c r="H64" s="1">
        <v>257.0</v>
      </c>
      <c r="I64" s="1">
        <v>169.499999999999</v>
      </c>
    </row>
    <row r="65">
      <c r="A65" s="3">
        <v>43585.0</v>
      </c>
      <c r="B65" s="1">
        <v>161.39</v>
      </c>
      <c r="C65" s="1">
        <v>100.165</v>
      </c>
      <c r="D65" s="1">
        <v>88.1</v>
      </c>
      <c r="E65" s="1">
        <v>647.65</v>
      </c>
      <c r="F65" s="1">
        <v>299.4</v>
      </c>
      <c r="G65" s="1">
        <v>22.0</v>
      </c>
      <c r="H65" s="1">
        <v>259.0</v>
      </c>
      <c r="I65" s="1">
        <v>179.1</v>
      </c>
    </row>
    <row r="66">
      <c r="A66" s="3">
        <v>43616.0</v>
      </c>
      <c r="B66" s="1">
        <v>168.04</v>
      </c>
      <c r="C66" s="1">
        <v>97.258</v>
      </c>
      <c r="D66" s="1">
        <v>104.1</v>
      </c>
      <c r="E66" s="1">
        <v>703.562</v>
      </c>
      <c r="F66" s="1">
        <v>265.799999999999</v>
      </c>
      <c r="G66" s="1">
        <v>26.0</v>
      </c>
      <c r="H66" s="1">
        <v>322.0</v>
      </c>
      <c r="I66" s="1">
        <v>135.4</v>
      </c>
    </row>
    <row r="67">
      <c r="A67" s="3">
        <v>43646.0</v>
      </c>
      <c r="B67" s="1">
        <v>151.54</v>
      </c>
      <c r="C67" s="1">
        <v>101.627</v>
      </c>
      <c r="D67" s="1">
        <v>103.2</v>
      </c>
      <c r="E67" s="1">
        <v>609.999999999999</v>
      </c>
      <c r="F67" s="1">
        <v>193.0</v>
      </c>
      <c r="G67" s="1">
        <v>25.0</v>
      </c>
      <c r="H67" s="1">
        <v>142.0</v>
      </c>
      <c r="I67" s="1">
        <v>156.04</v>
      </c>
    </row>
    <row r="68">
      <c r="A68" s="3">
        <v>43677.0</v>
      </c>
      <c r="B68" s="1">
        <v>181.0</v>
      </c>
      <c r="C68" s="1">
        <v>103.541</v>
      </c>
      <c r="D68" s="1">
        <v>92.8</v>
      </c>
      <c r="E68" s="1">
        <v>649.8</v>
      </c>
      <c r="F68" s="1">
        <v>250.6</v>
      </c>
      <c r="G68" s="1">
        <v>20.0</v>
      </c>
      <c r="H68" s="1">
        <v>115.0</v>
      </c>
      <c r="I68" s="1">
        <v>105.2</v>
      </c>
    </row>
    <row r="69">
      <c r="A69" s="3">
        <v>43708.0</v>
      </c>
      <c r="B69" s="1">
        <v>181.91</v>
      </c>
      <c r="C69" s="1">
        <v>88.269</v>
      </c>
      <c r="D69" s="1">
        <v>84.1999999999999</v>
      </c>
      <c r="E69" s="1">
        <v>518.099999999999</v>
      </c>
      <c r="F69" s="1">
        <v>237.0</v>
      </c>
      <c r="G69" s="1">
        <v>26.0</v>
      </c>
      <c r="H69" s="1">
        <v>145.0</v>
      </c>
      <c r="I69" s="1">
        <v>97.3</v>
      </c>
    </row>
    <row r="70">
      <c r="A70" s="3">
        <v>43738.0</v>
      </c>
      <c r="B70" s="1">
        <v>161.07</v>
      </c>
      <c r="C70" s="1">
        <v>111.437</v>
      </c>
      <c r="D70" s="1">
        <v>93.4999999999999</v>
      </c>
      <c r="E70" s="1">
        <v>984.479999999999</v>
      </c>
      <c r="F70" s="1">
        <v>227.799999999999</v>
      </c>
      <c r="G70" s="1">
        <v>16.0</v>
      </c>
      <c r="H70" s="1">
        <v>161.0</v>
      </c>
      <c r="I70" s="1">
        <v>109.1</v>
      </c>
    </row>
    <row r="71">
      <c r="A71" s="3">
        <v>43769.0</v>
      </c>
      <c r="B71" s="1">
        <v>44.37</v>
      </c>
      <c r="C71" s="1">
        <v>37.3</v>
      </c>
      <c r="D71" s="1">
        <v>20.65</v>
      </c>
      <c r="E71" s="1">
        <v>295.15</v>
      </c>
      <c r="F71" s="1">
        <v>86.0</v>
      </c>
      <c r="G71" s="1">
        <v>7.0</v>
      </c>
      <c r="H71" s="1">
        <v>37.0</v>
      </c>
      <c r="I71" s="1">
        <v>11.1299999999999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12</v>
      </c>
      <c r="O1" s="4" t="s">
        <v>12</v>
      </c>
      <c r="P1" s="4" t="s">
        <v>12</v>
      </c>
      <c r="Q1" s="4" t="s">
        <v>12</v>
      </c>
      <c r="R1" s="4" t="s">
        <v>12</v>
      </c>
      <c r="S1" s="4" t="s">
        <v>12</v>
      </c>
      <c r="T1" s="4" t="s">
        <v>12</v>
      </c>
      <c r="U1" s="4" t="s">
        <v>12</v>
      </c>
      <c r="V1" s="4" t="s">
        <v>12</v>
      </c>
      <c r="W1" s="4" t="s">
        <v>12</v>
      </c>
      <c r="X1" s="4" t="s">
        <v>12</v>
      </c>
      <c r="Y1" s="4" t="s">
        <v>12</v>
      </c>
      <c r="Z1" s="4" t="s">
        <v>12</v>
      </c>
    </row>
    <row r="2">
      <c r="A2" s="5">
        <v>41670.0</v>
      </c>
      <c r="B2" s="2">
        <v>127.69</v>
      </c>
      <c r="C2" s="2">
        <v>99.09</v>
      </c>
      <c r="D2" s="2">
        <v>152.099999999999</v>
      </c>
      <c r="E2" s="2">
        <v>878.03</v>
      </c>
      <c r="F2" s="2">
        <v>354.0</v>
      </c>
      <c r="G2" s="2">
        <v>50.0</v>
      </c>
      <c r="H2" s="2">
        <v>112.0</v>
      </c>
      <c r="I2" s="2">
        <v>48.2</v>
      </c>
      <c r="J2" s="4">
        <f t="shared" ref="J2:J71" si="1">YEAR(A2)</f>
        <v>2014</v>
      </c>
      <c r="K2" s="4" t="str">
        <f t="shared" ref="K2:K71" si="2">TEXT(A2, "mmmm")</f>
        <v>January</v>
      </c>
      <c r="L2" s="4">
        <f t="shared" ref="L2:L71" si="3">MONTH(A2)</f>
        <v>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41698.0</v>
      </c>
      <c r="B3" s="2">
        <v>133.32</v>
      </c>
      <c r="C3" s="2">
        <v>126.05</v>
      </c>
      <c r="D3" s="2">
        <v>176.999999999999</v>
      </c>
      <c r="E3" s="2">
        <v>1001.9</v>
      </c>
      <c r="F3" s="2">
        <v>347.0</v>
      </c>
      <c r="G3" s="2">
        <v>31.0</v>
      </c>
      <c r="H3" s="2">
        <v>122.0</v>
      </c>
      <c r="I3" s="2">
        <v>36.2</v>
      </c>
      <c r="J3" s="4">
        <f t="shared" si="1"/>
        <v>2014</v>
      </c>
      <c r="K3" s="4" t="str">
        <f t="shared" si="2"/>
        <v>February</v>
      </c>
      <c r="L3" s="4">
        <f t="shared" si="3"/>
        <v>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41729.0</v>
      </c>
      <c r="B4" s="2">
        <v>137.44</v>
      </c>
      <c r="C4" s="2">
        <v>92.95</v>
      </c>
      <c r="D4" s="2">
        <v>147.655</v>
      </c>
      <c r="E4" s="2">
        <v>779.275</v>
      </c>
      <c r="F4" s="2">
        <v>232.0</v>
      </c>
      <c r="G4" s="2">
        <v>20.0</v>
      </c>
      <c r="H4" s="2">
        <v>112.0</v>
      </c>
      <c r="I4" s="2">
        <v>85.4</v>
      </c>
      <c r="J4" s="4">
        <f t="shared" si="1"/>
        <v>2014</v>
      </c>
      <c r="K4" s="4" t="str">
        <f t="shared" si="2"/>
        <v>March</v>
      </c>
      <c r="L4" s="4">
        <f t="shared" si="3"/>
        <v>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41759.0</v>
      </c>
      <c r="B5" s="2">
        <v>113.1</v>
      </c>
      <c r="C5" s="2">
        <v>89.475</v>
      </c>
      <c r="D5" s="2">
        <v>130.899999999999</v>
      </c>
      <c r="E5" s="2">
        <v>698.5</v>
      </c>
      <c r="F5" s="2">
        <v>209.0</v>
      </c>
      <c r="G5" s="2">
        <v>18.0</v>
      </c>
      <c r="H5" s="2">
        <v>97.0</v>
      </c>
      <c r="I5" s="2">
        <v>73.7</v>
      </c>
      <c r="J5" s="4">
        <f t="shared" si="1"/>
        <v>2014</v>
      </c>
      <c r="K5" s="4" t="str">
        <f t="shared" si="2"/>
        <v>April</v>
      </c>
      <c r="L5" s="4">
        <f t="shared" si="3"/>
        <v>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41790.0</v>
      </c>
      <c r="B6" s="2">
        <v>101.79</v>
      </c>
      <c r="C6" s="2">
        <v>119.933</v>
      </c>
      <c r="D6" s="2">
        <v>132.1</v>
      </c>
      <c r="E6" s="2">
        <v>628.78</v>
      </c>
      <c r="F6" s="2">
        <v>270.0</v>
      </c>
      <c r="G6" s="2">
        <v>23.0</v>
      </c>
      <c r="H6" s="2">
        <v>107.0</v>
      </c>
      <c r="I6" s="2">
        <v>123.699999999999</v>
      </c>
      <c r="J6" s="4">
        <f t="shared" si="1"/>
        <v>2014</v>
      </c>
      <c r="K6" s="4" t="str">
        <f t="shared" si="2"/>
        <v>May</v>
      </c>
      <c r="L6" s="4">
        <f t="shared" si="3"/>
        <v>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41820.0</v>
      </c>
      <c r="B7" s="2">
        <v>112.07</v>
      </c>
      <c r="C7" s="2">
        <v>94.71</v>
      </c>
      <c r="D7" s="2">
        <v>122.9</v>
      </c>
      <c r="E7" s="2">
        <v>548.225</v>
      </c>
      <c r="F7" s="2">
        <v>323.0</v>
      </c>
      <c r="G7" s="2">
        <v>23.0</v>
      </c>
      <c r="H7" s="2">
        <v>57.0</v>
      </c>
      <c r="I7" s="2">
        <v>109.3</v>
      </c>
      <c r="J7" s="4">
        <f t="shared" si="1"/>
        <v>2014</v>
      </c>
      <c r="K7" s="4" t="str">
        <f t="shared" si="2"/>
        <v>June</v>
      </c>
      <c r="L7" s="4">
        <f t="shared" si="3"/>
        <v>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41851.0</v>
      </c>
      <c r="B8" s="2">
        <v>117.06</v>
      </c>
      <c r="C8" s="2">
        <v>95.0100000000001</v>
      </c>
      <c r="D8" s="2">
        <v>129.3</v>
      </c>
      <c r="E8" s="2">
        <v>491.9</v>
      </c>
      <c r="F8" s="2">
        <v>348.0</v>
      </c>
      <c r="G8" s="2">
        <v>21.0</v>
      </c>
      <c r="H8" s="2">
        <v>61.0</v>
      </c>
      <c r="I8" s="2">
        <v>69.1</v>
      </c>
      <c r="J8" s="4">
        <f t="shared" si="1"/>
        <v>2014</v>
      </c>
      <c r="K8" s="4" t="str">
        <f t="shared" si="2"/>
        <v>July</v>
      </c>
      <c r="L8" s="4">
        <f t="shared" si="3"/>
        <v>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41882.0</v>
      </c>
      <c r="B9" s="2">
        <v>134.79</v>
      </c>
      <c r="C9" s="2">
        <v>99.7800000000001</v>
      </c>
      <c r="D9" s="2">
        <v>123.8</v>
      </c>
      <c r="E9" s="2">
        <v>583.849999999999</v>
      </c>
      <c r="F9" s="2">
        <v>420.0</v>
      </c>
      <c r="G9" s="2">
        <v>29.0</v>
      </c>
      <c r="H9" s="2">
        <v>37.0</v>
      </c>
      <c r="I9" s="2">
        <v>70.8</v>
      </c>
      <c r="J9" s="4">
        <f t="shared" si="1"/>
        <v>2014</v>
      </c>
      <c r="K9" s="4" t="str">
        <f t="shared" si="2"/>
        <v>August</v>
      </c>
      <c r="L9" s="4">
        <f t="shared" si="3"/>
        <v>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41912.0</v>
      </c>
      <c r="B10" s="2">
        <v>108.78</v>
      </c>
      <c r="C10" s="2">
        <v>109.094</v>
      </c>
      <c r="D10" s="2">
        <v>122.099999999999</v>
      </c>
      <c r="E10" s="2">
        <v>887.819999999999</v>
      </c>
      <c r="F10" s="2">
        <v>399.0</v>
      </c>
      <c r="G10" s="2">
        <v>14.0</v>
      </c>
      <c r="H10" s="2">
        <v>115.0</v>
      </c>
      <c r="I10" s="2">
        <v>58.8</v>
      </c>
      <c r="J10" s="4">
        <f t="shared" si="1"/>
        <v>2014</v>
      </c>
      <c r="K10" s="4" t="str">
        <f t="shared" si="2"/>
        <v>September</v>
      </c>
      <c r="L10" s="4">
        <f t="shared" si="3"/>
        <v>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41943.0</v>
      </c>
      <c r="B11" s="2">
        <v>154.75</v>
      </c>
      <c r="C11" s="2">
        <v>185.241</v>
      </c>
      <c r="D11" s="2">
        <v>191.599999999999</v>
      </c>
      <c r="E11" s="2">
        <v>1856.81499999999</v>
      </c>
      <c r="F11" s="2">
        <v>472.0</v>
      </c>
      <c r="G11" s="2">
        <v>30.0</v>
      </c>
      <c r="H11" s="2">
        <v>182.0</v>
      </c>
      <c r="I11" s="2">
        <v>74.5</v>
      </c>
      <c r="J11" s="4">
        <f t="shared" si="1"/>
        <v>2014</v>
      </c>
      <c r="K11" s="4" t="str">
        <f t="shared" si="2"/>
        <v>October</v>
      </c>
      <c r="L11" s="4">
        <f t="shared" si="3"/>
        <v>10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41973.0</v>
      </c>
      <c r="B12" s="2">
        <v>138.08</v>
      </c>
      <c r="C12" s="2">
        <v>100.86</v>
      </c>
      <c r="D12" s="2">
        <v>142.7</v>
      </c>
      <c r="E12" s="2">
        <v>723.8</v>
      </c>
      <c r="F12" s="2">
        <v>489.0</v>
      </c>
      <c r="G12" s="2">
        <v>19.0</v>
      </c>
      <c r="H12" s="2">
        <v>112.0</v>
      </c>
      <c r="I12" s="2">
        <v>45.2</v>
      </c>
      <c r="J12" s="4">
        <f t="shared" si="1"/>
        <v>2014</v>
      </c>
      <c r="K12" s="4" t="str">
        <f t="shared" si="2"/>
        <v>November</v>
      </c>
      <c r="L12" s="4">
        <f t="shared" si="3"/>
        <v>11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42004.0</v>
      </c>
      <c r="B13" s="2">
        <v>131.9</v>
      </c>
      <c r="C13" s="2">
        <v>121.401</v>
      </c>
      <c r="D13" s="2">
        <v>111.124</v>
      </c>
      <c r="E13" s="2">
        <v>1015.66</v>
      </c>
      <c r="F13" s="2">
        <v>492.0</v>
      </c>
      <c r="G13" s="2">
        <v>25.0</v>
      </c>
      <c r="H13" s="2">
        <v>163.0</v>
      </c>
      <c r="I13" s="2">
        <v>33.4</v>
      </c>
      <c r="J13" s="4">
        <f t="shared" si="1"/>
        <v>2014</v>
      </c>
      <c r="K13" s="4" t="str">
        <f t="shared" si="2"/>
        <v>December</v>
      </c>
      <c r="L13" s="4">
        <f t="shared" si="3"/>
        <v>12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42035.0</v>
      </c>
      <c r="B14" s="2">
        <v>135.91</v>
      </c>
      <c r="C14" s="2">
        <v>130.349</v>
      </c>
      <c r="D14" s="2">
        <v>141.0</v>
      </c>
      <c r="E14" s="2">
        <v>1044.24</v>
      </c>
      <c r="F14" s="2">
        <v>463.0</v>
      </c>
      <c r="G14" s="2">
        <v>24.0</v>
      </c>
      <c r="H14" s="2">
        <v>177.25</v>
      </c>
      <c r="I14" s="2">
        <v>42.0</v>
      </c>
      <c r="J14" s="4">
        <f t="shared" si="1"/>
        <v>2015</v>
      </c>
      <c r="K14" s="4" t="str">
        <f t="shared" si="2"/>
        <v>January</v>
      </c>
      <c r="L14" s="4">
        <f t="shared" si="3"/>
        <v>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42063.0</v>
      </c>
      <c r="B15" s="2">
        <v>115.71</v>
      </c>
      <c r="C15" s="2">
        <v>123.739999999999</v>
      </c>
      <c r="D15" s="2">
        <v>131.83</v>
      </c>
      <c r="E15" s="2">
        <v>953.252</v>
      </c>
      <c r="F15" s="2">
        <v>243.0</v>
      </c>
      <c r="G15" s="2">
        <v>9.0</v>
      </c>
      <c r="H15" s="2">
        <v>208.0</v>
      </c>
      <c r="I15" s="2">
        <v>47.0</v>
      </c>
      <c r="J15" s="4">
        <f t="shared" si="1"/>
        <v>2015</v>
      </c>
      <c r="K15" s="4" t="str">
        <f t="shared" si="2"/>
        <v>February</v>
      </c>
      <c r="L15" s="4">
        <f t="shared" si="3"/>
        <v>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42094.0</v>
      </c>
      <c r="B16" s="2">
        <v>156.04</v>
      </c>
      <c r="C16" s="2">
        <v>129.385999999999</v>
      </c>
      <c r="D16" s="2">
        <v>133.8</v>
      </c>
      <c r="E16" s="2">
        <v>1084.85</v>
      </c>
      <c r="F16" s="2">
        <v>208.0</v>
      </c>
      <c r="G16" s="2">
        <v>13.0</v>
      </c>
      <c r="H16" s="2">
        <v>195.0</v>
      </c>
      <c r="I16" s="2">
        <v>54.0</v>
      </c>
      <c r="J16" s="4">
        <f t="shared" si="1"/>
        <v>2015</v>
      </c>
      <c r="K16" s="4" t="str">
        <f t="shared" si="2"/>
        <v>March</v>
      </c>
      <c r="L16" s="4">
        <f t="shared" si="3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42124.0</v>
      </c>
      <c r="B17" s="2">
        <v>154.5</v>
      </c>
      <c r="C17" s="2">
        <v>101.115</v>
      </c>
      <c r="D17" s="2">
        <v>122.1</v>
      </c>
      <c r="E17" s="2">
        <v>940.17</v>
      </c>
      <c r="F17" s="2">
        <v>192.0</v>
      </c>
      <c r="G17" s="2">
        <v>5.0</v>
      </c>
      <c r="H17" s="2">
        <v>97.0</v>
      </c>
      <c r="I17" s="2">
        <v>112.0</v>
      </c>
      <c r="J17" s="4">
        <f t="shared" si="1"/>
        <v>2015</v>
      </c>
      <c r="K17" s="4" t="str">
        <f t="shared" si="2"/>
        <v>April</v>
      </c>
      <c r="L17" s="4">
        <f t="shared" si="3"/>
        <v>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42155.0</v>
      </c>
      <c r="B18" s="2">
        <v>160.02</v>
      </c>
      <c r="C18" s="2">
        <v>119.117</v>
      </c>
      <c r="D18" s="2">
        <v>136.04</v>
      </c>
      <c r="E18" s="2">
        <v>765.9</v>
      </c>
      <c r="F18" s="2">
        <v>194.0</v>
      </c>
      <c r="G18" s="2">
        <v>10.0</v>
      </c>
      <c r="H18" s="2">
        <v>100.0</v>
      </c>
      <c r="I18" s="2">
        <v>159.5</v>
      </c>
      <c r="J18" s="4">
        <f t="shared" si="1"/>
        <v>2015</v>
      </c>
      <c r="K18" s="4" t="str">
        <f t="shared" si="2"/>
        <v>May</v>
      </c>
      <c r="L18" s="4">
        <f t="shared" si="3"/>
        <v>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42185.0</v>
      </c>
      <c r="B19" s="2">
        <v>151.87</v>
      </c>
      <c r="C19" s="2">
        <v>113.69</v>
      </c>
      <c r="D19" s="2">
        <v>145.46</v>
      </c>
      <c r="E19" s="2">
        <v>746.788</v>
      </c>
      <c r="F19" s="2">
        <v>217.0</v>
      </c>
      <c r="G19" s="2">
        <v>12.0</v>
      </c>
      <c r="H19" s="2">
        <v>193.0</v>
      </c>
      <c r="I19" s="2">
        <v>125.799999999999</v>
      </c>
      <c r="J19" s="4">
        <f t="shared" si="1"/>
        <v>2015</v>
      </c>
      <c r="K19" s="4" t="str">
        <f t="shared" si="2"/>
        <v>June</v>
      </c>
      <c r="L19" s="4">
        <f t="shared" si="3"/>
        <v>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42216.0</v>
      </c>
      <c r="B20" s="2">
        <v>175.61</v>
      </c>
      <c r="C20" s="2">
        <v>113.81</v>
      </c>
      <c r="D20" s="2">
        <v>125.5</v>
      </c>
      <c r="E20" s="2">
        <v>708.828</v>
      </c>
      <c r="F20" s="2">
        <v>203.0</v>
      </c>
      <c r="G20" s="2">
        <v>6.0</v>
      </c>
      <c r="H20" s="2">
        <v>60.0</v>
      </c>
      <c r="I20" s="2">
        <v>130.3</v>
      </c>
      <c r="J20" s="4">
        <f t="shared" si="1"/>
        <v>2015</v>
      </c>
      <c r="K20" s="4" t="str">
        <f t="shared" si="2"/>
        <v>July</v>
      </c>
      <c r="L20" s="4">
        <f t="shared" si="3"/>
        <v>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42247.0</v>
      </c>
      <c r="B21" s="2">
        <v>181.69</v>
      </c>
      <c r="C21" s="2">
        <v>144.519</v>
      </c>
      <c r="D21" s="2">
        <v>133.4</v>
      </c>
      <c r="E21" s="2">
        <v>790.788</v>
      </c>
      <c r="F21" s="2">
        <v>265.5</v>
      </c>
      <c r="G21" s="2">
        <v>15.0</v>
      </c>
      <c r="H21" s="2">
        <v>45.0</v>
      </c>
      <c r="I21" s="2">
        <v>83.7</v>
      </c>
      <c r="J21" s="4">
        <f t="shared" si="1"/>
        <v>2015</v>
      </c>
      <c r="K21" s="4" t="str">
        <f t="shared" si="2"/>
        <v>August</v>
      </c>
      <c r="L21" s="4">
        <f t="shared" si="3"/>
        <v>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42277.0</v>
      </c>
      <c r="B22" s="2">
        <v>166.22</v>
      </c>
      <c r="C22" s="2">
        <v>134.122</v>
      </c>
      <c r="D22" s="2">
        <v>110.4</v>
      </c>
      <c r="E22" s="2">
        <v>852.125</v>
      </c>
      <c r="F22" s="2">
        <v>243.5</v>
      </c>
      <c r="G22" s="2">
        <v>11.0</v>
      </c>
      <c r="H22" s="2">
        <v>91.0</v>
      </c>
      <c r="I22" s="2">
        <v>71.0</v>
      </c>
      <c r="J22" s="4">
        <f t="shared" si="1"/>
        <v>2015</v>
      </c>
      <c r="K22" s="4" t="str">
        <f t="shared" si="2"/>
        <v>September</v>
      </c>
      <c r="L22" s="4">
        <f t="shared" si="3"/>
        <v>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42308.0</v>
      </c>
      <c r="B23" s="2">
        <v>195.81</v>
      </c>
      <c r="C23" s="2">
        <v>127.230999999999</v>
      </c>
      <c r="D23" s="2">
        <v>146.2</v>
      </c>
      <c r="E23" s="2">
        <v>1574.335</v>
      </c>
      <c r="F23" s="2">
        <v>222.0</v>
      </c>
      <c r="G23" s="2">
        <v>8.0</v>
      </c>
      <c r="H23" s="2">
        <v>184.0</v>
      </c>
      <c r="I23" s="2">
        <v>72.0</v>
      </c>
      <c r="J23" s="4">
        <f t="shared" si="1"/>
        <v>2015</v>
      </c>
      <c r="K23" s="4" t="str">
        <f t="shared" si="2"/>
        <v>October</v>
      </c>
      <c r="L23" s="4">
        <f t="shared" si="3"/>
        <v>10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42338.0</v>
      </c>
      <c r="B24" s="2">
        <v>152.78</v>
      </c>
      <c r="C24" s="2">
        <v>128.233</v>
      </c>
      <c r="D24" s="2">
        <v>145.9</v>
      </c>
      <c r="E24" s="2">
        <v>1277.725</v>
      </c>
      <c r="F24" s="2">
        <v>228.0</v>
      </c>
      <c r="G24" s="2">
        <v>18.0</v>
      </c>
      <c r="H24" s="2">
        <v>195.0</v>
      </c>
      <c r="I24" s="2">
        <v>44.0</v>
      </c>
      <c r="J24" s="4">
        <f t="shared" si="1"/>
        <v>2015</v>
      </c>
      <c r="K24" s="4" t="str">
        <f t="shared" si="2"/>
        <v>November</v>
      </c>
      <c r="L24" s="4">
        <f t="shared" si="3"/>
        <v>11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42369.0</v>
      </c>
      <c r="B25" s="2">
        <v>159.46</v>
      </c>
      <c r="C25" s="2">
        <v>131.291</v>
      </c>
      <c r="D25" s="2">
        <v>136.999999999999</v>
      </c>
      <c r="E25" s="2">
        <v>1258.349</v>
      </c>
      <c r="F25" s="2">
        <v>286.0</v>
      </c>
      <c r="G25" s="2">
        <v>28.0</v>
      </c>
      <c r="H25" s="2">
        <v>231.0</v>
      </c>
      <c r="I25" s="2">
        <v>41.73</v>
      </c>
      <c r="J25" s="4">
        <f t="shared" si="1"/>
        <v>2015</v>
      </c>
      <c r="K25" s="4" t="str">
        <f t="shared" si="2"/>
        <v>December</v>
      </c>
      <c r="L25" s="4">
        <f t="shared" si="3"/>
        <v>12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42400.0</v>
      </c>
      <c r="B26" s="2">
        <v>171.65</v>
      </c>
      <c r="C26" s="2">
        <v>128.402</v>
      </c>
      <c r="D26" s="2">
        <v>172.499999999999</v>
      </c>
      <c r="E26" s="2">
        <v>1476.324</v>
      </c>
      <c r="F26" s="2">
        <v>248.0</v>
      </c>
      <c r="G26" s="2">
        <v>24.0</v>
      </c>
      <c r="H26" s="2">
        <v>174.0</v>
      </c>
      <c r="I26" s="2">
        <v>56.5</v>
      </c>
      <c r="J26" s="4">
        <f t="shared" si="1"/>
        <v>2016</v>
      </c>
      <c r="K26" s="4" t="str">
        <f t="shared" si="2"/>
        <v>January</v>
      </c>
      <c r="L26" s="4">
        <f t="shared" si="3"/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42429.0</v>
      </c>
      <c r="B27" s="2">
        <v>173.81</v>
      </c>
      <c r="C27" s="2">
        <v>137.528</v>
      </c>
      <c r="D27" s="2">
        <v>134.2</v>
      </c>
      <c r="E27" s="2">
        <v>1224.862</v>
      </c>
      <c r="F27" s="2">
        <v>239.0</v>
      </c>
      <c r="G27" s="2">
        <v>20.0</v>
      </c>
      <c r="H27" s="2">
        <v>245.0</v>
      </c>
      <c r="I27" s="2">
        <v>58.0</v>
      </c>
      <c r="J27" s="4">
        <f t="shared" si="1"/>
        <v>2016</v>
      </c>
      <c r="K27" s="4" t="str">
        <f t="shared" si="2"/>
        <v>February</v>
      </c>
      <c r="L27" s="4">
        <f t="shared" si="3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42460.0</v>
      </c>
      <c r="B28" s="2">
        <v>156.64</v>
      </c>
      <c r="C28" s="2">
        <v>180.589</v>
      </c>
      <c r="D28" s="2">
        <v>148.4</v>
      </c>
      <c r="E28" s="2">
        <v>1150.7</v>
      </c>
      <c r="F28" s="2">
        <v>250.0</v>
      </c>
      <c r="G28" s="2">
        <v>13.0</v>
      </c>
      <c r="H28" s="2">
        <v>253.0</v>
      </c>
      <c r="I28" s="2">
        <v>97.84</v>
      </c>
      <c r="J28" s="4">
        <f t="shared" si="1"/>
        <v>2016</v>
      </c>
      <c r="K28" s="4" t="str">
        <f t="shared" si="2"/>
        <v>March</v>
      </c>
      <c r="L28" s="4">
        <f t="shared" si="3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42490.0</v>
      </c>
      <c r="B29" s="2">
        <v>166.61</v>
      </c>
      <c r="C29" s="2">
        <v>146.526</v>
      </c>
      <c r="D29" s="2">
        <v>147.7</v>
      </c>
      <c r="E29" s="2">
        <v>998.337</v>
      </c>
      <c r="F29" s="2">
        <v>318.0</v>
      </c>
      <c r="G29" s="2">
        <v>18.0</v>
      </c>
      <c r="H29" s="2">
        <v>216.0</v>
      </c>
      <c r="I29" s="2">
        <v>162.399999999999</v>
      </c>
      <c r="J29" s="4">
        <f t="shared" si="1"/>
        <v>2016</v>
      </c>
      <c r="K29" s="4" t="str">
        <f t="shared" si="2"/>
        <v>April</v>
      </c>
      <c r="L29" s="4">
        <f t="shared" si="3"/>
        <v>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42521.0</v>
      </c>
      <c r="B30" s="2">
        <v>167.36</v>
      </c>
      <c r="C30" s="2">
        <v>120.860999999999</v>
      </c>
      <c r="D30" s="2">
        <v>130.549999999999</v>
      </c>
      <c r="E30" s="2">
        <v>997.15</v>
      </c>
      <c r="F30" s="2">
        <v>275.0</v>
      </c>
      <c r="G30" s="2">
        <v>18.0</v>
      </c>
      <c r="H30" s="2">
        <v>131.0</v>
      </c>
      <c r="I30" s="2">
        <v>137.1</v>
      </c>
      <c r="J30" s="4">
        <f t="shared" si="1"/>
        <v>2016</v>
      </c>
      <c r="K30" s="4" t="str">
        <f t="shared" si="2"/>
        <v>May</v>
      </c>
      <c r="L30" s="4">
        <f t="shared" si="3"/>
        <v>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42551.0</v>
      </c>
      <c r="B31" s="2">
        <v>169.67</v>
      </c>
      <c r="C31" s="2">
        <v>114.961</v>
      </c>
      <c r="D31" s="2">
        <v>117.75</v>
      </c>
      <c r="E31" s="2">
        <v>760.05</v>
      </c>
      <c r="F31" s="2">
        <v>311.0</v>
      </c>
      <c r="G31" s="2">
        <v>20.0</v>
      </c>
      <c r="H31" s="2">
        <v>127.0</v>
      </c>
      <c r="I31" s="2">
        <v>134.8</v>
      </c>
      <c r="J31" s="4">
        <f t="shared" si="1"/>
        <v>2016</v>
      </c>
      <c r="K31" s="4" t="str">
        <f t="shared" si="2"/>
        <v>June</v>
      </c>
      <c r="L31" s="4">
        <f t="shared" si="3"/>
        <v>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42582.0</v>
      </c>
      <c r="B32" s="2">
        <v>203.97</v>
      </c>
      <c r="C32" s="2">
        <v>141.019</v>
      </c>
      <c r="D32" s="2">
        <v>137.899999999999</v>
      </c>
      <c r="E32" s="2">
        <v>652.361999999999</v>
      </c>
      <c r="F32" s="2">
        <v>240.0</v>
      </c>
      <c r="G32" s="2">
        <v>8.0</v>
      </c>
      <c r="H32" s="2">
        <v>109.0</v>
      </c>
      <c r="I32" s="2">
        <v>116.83</v>
      </c>
      <c r="J32" s="4">
        <f t="shared" si="1"/>
        <v>2016</v>
      </c>
      <c r="K32" s="4" t="str">
        <f t="shared" si="2"/>
        <v>July</v>
      </c>
      <c r="L32" s="4">
        <f t="shared" si="3"/>
        <v>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42613.0</v>
      </c>
      <c r="B33" s="2">
        <v>211.13</v>
      </c>
      <c r="C33" s="2">
        <v>114.374999999999</v>
      </c>
      <c r="D33" s="2">
        <v>132.7</v>
      </c>
      <c r="E33" s="2">
        <v>753.05</v>
      </c>
      <c r="F33" s="2">
        <v>275.5</v>
      </c>
      <c r="G33" s="2">
        <v>12.0</v>
      </c>
      <c r="H33" s="2">
        <v>116.0</v>
      </c>
      <c r="I33" s="2">
        <v>85.3</v>
      </c>
      <c r="J33" s="4">
        <f t="shared" si="1"/>
        <v>2016</v>
      </c>
      <c r="K33" s="4" t="str">
        <f t="shared" si="2"/>
        <v>August</v>
      </c>
      <c r="L33" s="4">
        <f t="shared" si="3"/>
        <v>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42643.0</v>
      </c>
      <c r="B34" s="2">
        <v>172.96</v>
      </c>
      <c r="C34" s="2">
        <v>126.217999999999</v>
      </c>
      <c r="D34" s="2">
        <v>116.7</v>
      </c>
      <c r="E34" s="2">
        <v>1118.699</v>
      </c>
      <c r="F34" s="2">
        <v>307.0</v>
      </c>
      <c r="G34" s="2">
        <v>18.0</v>
      </c>
      <c r="H34" s="2">
        <v>121.0</v>
      </c>
      <c r="I34" s="2">
        <v>69.3</v>
      </c>
      <c r="J34" s="4">
        <f t="shared" si="1"/>
        <v>2016</v>
      </c>
      <c r="K34" s="4" t="str">
        <f t="shared" si="2"/>
        <v>September</v>
      </c>
      <c r="L34" s="4">
        <f t="shared" si="3"/>
        <v>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42674.0</v>
      </c>
      <c r="B35" s="2">
        <v>186.76</v>
      </c>
      <c r="C35" s="2">
        <v>142.056</v>
      </c>
      <c r="D35" s="2">
        <v>160.15</v>
      </c>
      <c r="E35" s="2">
        <v>1617.275</v>
      </c>
      <c r="F35" s="2">
        <v>312.0</v>
      </c>
      <c r="G35" s="2">
        <v>11.0</v>
      </c>
      <c r="H35" s="2">
        <v>220.0</v>
      </c>
      <c r="I35" s="2">
        <v>60.9</v>
      </c>
      <c r="J35" s="4">
        <f t="shared" si="1"/>
        <v>2016</v>
      </c>
      <c r="K35" s="4" t="str">
        <f t="shared" si="2"/>
        <v>October</v>
      </c>
      <c r="L35" s="4">
        <f t="shared" si="3"/>
        <v>10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42704.0</v>
      </c>
      <c r="B36" s="2">
        <v>175.18</v>
      </c>
      <c r="C36" s="2">
        <v>116.849999999999</v>
      </c>
      <c r="D36" s="2">
        <v>133.85</v>
      </c>
      <c r="E36" s="2">
        <v>1062.686</v>
      </c>
      <c r="F36" s="2">
        <v>246.0</v>
      </c>
      <c r="G36" s="2">
        <v>27.0</v>
      </c>
      <c r="H36" s="2">
        <v>150.0</v>
      </c>
      <c r="I36" s="2">
        <v>51.1999999999999</v>
      </c>
      <c r="J36" s="4">
        <f t="shared" si="1"/>
        <v>2016</v>
      </c>
      <c r="K36" s="4" t="str">
        <f t="shared" si="2"/>
        <v>November</v>
      </c>
      <c r="L36" s="4">
        <f t="shared" si="3"/>
        <v>11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42735.0</v>
      </c>
      <c r="B37" s="2">
        <v>169.32</v>
      </c>
      <c r="C37" s="2">
        <v>135.056</v>
      </c>
      <c r="D37" s="2">
        <v>132.399999999999</v>
      </c>
      <c r="E37" s="2">
        <v>1624.335</v>
      </c>
      <c r="F37" s="2">
        <v>257.0</v>
      </c>
      <c r="G37" s="2">
        <v>18.0</v>
      </c>
      <c r="H37" s="2">
        <v>275.0</v>
      </c>
      <c r="I37" s="2">
        <v>34.9</v>
      </c>
      <c r="J37" s="4">
        <f t="shared" si="1"/>
        <v>2016</v>
      </c>
      <c r="K37" s="4" t="str">
        <f t="shared" si="2"/>
        <v>December</v>
      </c>
      <c r="L37" s="4">
        <f t="shared" si="3"/>
        <v>12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42766.0</v>
      </c>
      <c r="B38" s="2">
        <v>0.0</v>
      </c>
      <c r="C38" s="2">
        <v>0.0</v>
      </c>
      <c r="D38" s="2">
        <v>0.0</v>
      </c>
      <c r="E38" s="2">
        <v>0.0</v>
      </c>
      <c r="F38" s="2">
        <v>1.0</v>
      </c>
      <c r="G38" s="2">
        <v>0.0</v>
      </c>
      <c r="H38" s="2">
        <v>0.0</v>
      </c>
      <c r="I38" s="2">
        <v>0.0</v>
      </c>
      <c r="J38" s="4">
        <f t="shared" si="1"/>
        <v>2017</v>
      </c>
      <c r="K38" s="4" t="str">
        <f t="shared" si="2"/>
        <v>January</v>
      </c>
      <c r="L38" s="4">
        <f t="shared" si="3"/>
        <v>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42794.0</v>
      </c>
      <c r="B39" s="2">
        <v>139.69</v>
      </c>
      <c r="C39" s="2">
        <v>103.517</v>
      </c>
      <c r="D39" s="2">
        <v>97.0</v>
      </c>
      <c r="E39" s="2">
        <v>526.35</v>
      </c>
      <c r="F39" s="2">
        <v>144.0</v>
      </c>
      <c r="G39" s="2">
        <v>7.0</v>
      </c>
      <c r="H39" s="2">
        <v>117.0</v>
      </c>
      <c r="I39" s="2">
        <v>30.6</v>
      </c>
      <c r="J39" s="4">
        <f t="shared" si="1"/>
        <v>2017</v>
      </c>
      <c r="K39" s="4" t="str">
        <f t="shared" si="2"/>
        <v>February</v>
      </c>
      <c r="L39" s="4">
        <f t="shared" si="3"/>
        <v>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42825.0</v>
      </c>
      <c r="B40" s="2">
        <v>162.85</v>
      </c>
      <c r="C40" s="2">
        <v>111.055</v>
      </c>
      <c r="D40" s="2">
        <v>107.35</v>
      </c>
      <c r="E40" s="2">
        <v>612.5</v>
      </c>
      <c r="F40" s="2">
        <v>165.0</v>
      </c>
      <c r="G40" s="2">
        <v>9.0</v>
      </c>
      <c r="H40" s="2">
        <v>139.0</v>
      </c>
      <c r="I40" s="2">
        <v>100.1</v>
      </c>
      <c r="J40" s="4">
        <f t="shared" si="1"/>
        <v>2017</v>
      </c>
      <c r="K40" s="4" t="str">
        <f t="shared" si="2"/>
        <v>March</v>
      </c>
      <c r="L40" s="4">
        <f t="shared" si="3"/>
        <v>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42855.0</v>
      </c>
      <c r="B41" s="2">
        <v>155.61</v>
      </c>
      <c r="C41" s="2">
        <v>101.215</v>
      </c>
      <c r="D41" s="2">
        <v>100.5</v>
      </c>
      <c r="E41" s="2">
        <v>540.199999999999</v>
      </c>
      <c r="F41" s="2">
        <v>132.0</v>
      </c>
      <c r="G41" s="2">
        <v>9.0</v>
      </c>
      <c r="H41" s="2">
        <v>209.0</v>
      </c>
      <c r="I41" s="2">
        <v>122.399999999999</v>
      </c>
      <c r="J41" s="4">
        <f t="shared" si="1"/>
        <v>2017</v>
      </c>
      <c r="K41" s="4" t="str">
        <f t="shared" si="2"/>
        <v>April</v>
      </c>
      <c r="L41" s="4">
        <f t="shared" si="3"/>
        <v>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42886.0</v>
      </c>
      <c r="B42" s="2">
        <v>143.66</v>
      </c>
      <c r="C42" s="2">
        <v>118.125</v>
      </c>
      <c r="D42" s="2">
        <v>98.95</v>
      </c>
      <c r="E42" s="2">
        <v>547.939999999999</v>
      </c>
      <c r="F42" s="2">
        <v>148.0</v>
      </c>
      <c r="G42" s="2">
        <v>23.0</v>
      </c>
      <c r="H42" s="2">
        <v>128.0</v>
      </c>
      <c r="I42" s="2">
        <v>161.81</v>
      </c>
      <c r="J42" s="4">
        <f t="shared" si="1"/>
        <v>2017</v>
      </c>
      <c r="K42" s="4" t="str">
        <f t="shared" si="2"/>
        <v>May</v>
      </c>
      <c r="L42" s="4">
        <f t="shared" si="3"/>
        <v>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42916.0</v>
      </c>
      <c r="B43" s="2">
        <v>122.33</v>
      </c>
      <c r="C43" s="2">
        <v>103.005999999999</v>
      </c>
      <c r="D43" s="2">
        <v>119.6</v>
      </c>
      <c r="E43" s="2">
        <v>496.1</v>
      </c>
      <c r="F43" s="2">
        <v>163.0</v>
      </c>
      <c r="G43" s="2">
        <v>8.0</v>
      </c>
      <c r="H43" s="2">
        <v>163.0</v>
      </c>
      <c r="I43" s="2">
        <v>151.899999999999</v>
      </c>
      <c r="J43" s="4">
        <f t="shared" si="1"/>
        <v>2017</v>
      </c>
      <c r="K43" s="4" t="str">
        <f t="shared" si="2"/>
        <v>June</v>
      </c>
      <c r="L43" s="4">
        <f t="shared" si="3"/>
        <v>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42947.0</v>
      </c>
      <c r="B44" s="2">
        <v>159.67</v>
      </c>
      <c r="C44" s="2">
        <v>116.206</v>
      </c>
      <c r="D44" s="2">
        <v>75.1999999999999</v>
      </c>
      <c r="E44" s="2">
        <v>479.349999999999</v>
      </c>
      <c r="F44" s="2">
        <v>219.0</v>
      </c>
      <c r="G44" s="2">
        <v>15.0</v>
      </c>
      <c r="H44" s="2">
        <v>115.0</v>
      </c>
      <c r="I44" s="2">
        <v>81.1</v>
      </c>
      <c r="J44" s="4">
        <f t="shared" si="1"/>
        <v>2017</v>
      </c>
      <c r="K44" s="4" t="str">
        <f t="shared" si="2"/>
        <v>July</v>
      </c>
      <c r="L44" s="4">
        <f t="shared" si="3"/>
        <v>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42978.0</v>
      </c>
      <c r="B45" s="2">
        <v>170.149999999999</v>
      </c>
      <c r="C45" s="2">
        <v>112.47</v>
      </c>
      <c r="D45" s="2">
        <v>84.4</v>
      </c>
      <c r="E45" s="2">
        <v>549.3</v>
      </c>
      <c r="F45" s="2">
        <v>239.0</v>
      </c>
      <c r="G45" s="2">
        <v>12.0</v>
      </c>
      <c r="H45" s="2">
        <v>75.0</v>
      </c>
      <c r="I45" s="2">
        <v>60.1</v>
      </c>
      <c r="J45" s="4">
        <f t="shared" si="1"/>
        <v>2017</v>
      </c>
      <c r="K45" s="4" t="str">
        <f t="shared" si="2"/>
        <v>August</v>
      </c>
      <c r="L45" s="4">
        <f t="shared" si="3"/>
        <v>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43008.0</v>
      </c>
      <c r="B46" s="2">
        <v>138.33</v>
      </c>
      <c r="C46" s="2">
        <v>118.711</v>
      </c>
      <c r="D46" s="2">
        <v>88.1499999999999</v>
      </c>
      <c r="E46" s="2">
        <v>863.75</v>
      </c>
      <c r="F46" s="2">
        <v>223.0</v>
      </c>
      <c r="G46" s="2">
        <v>23.0</v>
      </c>
      <c r="H46" s="2">
        <v>139.0</v>
      </c>
      <c r="I46" s="2">
        <v>66.9</v>
      </c>
      <c r="J46" s="4">
        <f t="shared" si="1"/>
        <v>2017</v>
      </c>
      <c r="K46" s="4" t="str">
        <f t="shared" si="2"/>
        <v>September</v>
      </c>
      <c r="L46" s="4">
        <f t="shared" si="3"/>
        <v>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43039.0</v>
      </c>
      <c r="B47" s="2">
        <v>137.64</v>
      </c>
      <c r="C47" s="2">
        <v>88.737</v>
      </c>
      <c r="D47" s="2">
        <v>100.399999999999</v>
      </c>
      <c r="E47" s="2">
        <v>1184.35</v>
      </c>
      <c r="F47" s="2">
        <v>226.0</v>
      </c>
      <c r="G47" s="2">
        <v>15.0</v>
      </c>
      <c r="H47" s="2">
        <v>247.0</v>
      </c>
      <c r="I47" s="2">
        <v>51.0</v>
      </c>
      <c r="J47" s="4">
        <f t="shared" si="1"/>
        <v>2017</v>
      </c>
      <c r="K47" s="4" t="str">
        <f t="shared" si="2"/>
        <v>October</v>
      </c>
      <c r="L47" s="4">
        <f t="shared" si="3"/>
        <v>10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43069.0</v>
      </c>
      <c r="B48" s="2">
        <v>163.85</v>
      </c>
      <c r="C48" s="2">
        <v>119.78</v>
      </c>
      <c r="D48" s="2">
        <v>104.45</v>
      </c>
      <c r="E48" s="2">
        <v>867.899</v>
      </c>
      <c r="F48" s="2">
        <v>192.0</v>
      </c>
      <c r="G48" s="2">
        <v>15.0</v>
      </c>
      <c r="H48" s="2">
        <v>196.0</v>
      </c>
      <c r="I48" s="2">
        <v>46.5999999999999</v>
      </c>
      <c r="J48" s="4">
        <f t="shared" si="1"/>
        <v>2017</v>
      </c>
      <c r="K48" s="4" t="str">
        <f t="shared" si="2"/>
        <v>November</v>
      </c>
      <c r="L48" s="4">
        <f t="shared" si="3"/>
        <v>11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43100.0</v>
      </c>
      <c r="B49" s="2">
        <v>160.01</v>
      </c>
      <c r="C49" s="2">
        <v>121.663</v>
      </c>
      <c r="D49" s="2">
        <v>115.149999999999</v>
      </c>
      <c r="E49" s="2">
        <v>1007.18</v>
      </c>
      <c r="F49" s="2">
        <v>226.0</v>
      </c>
      <c r="G49" s="2">
        <v>6.0</v>
      </c>
      <c r="H49" s="2">
        <v>204.0</v>
      </c>
      <c r="I49" s="2">
        <v>47.1</v>
      </c>
      <c r="J49" s="4">
        <f t="shared" si="1"/>
        <v>2017</v>
      </c>
      <c r="K49" s="4" t="str">
        <f t="shared" si="2"/>
        <v>December</v>
      </c>
      <c r="L49" s="4">
        <f t="shared" si="3"/>
        <v>12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43131.0</v>
      </c>
      <c r="B50" s="2">
        <v>132.28</v>
      </c>
      <c r="C50" s="2">
        <v>109.445999999999</v>
      </c>
      <c r="D50" s="2">
        <v>101.149999999999</v>
      </c>
      <c r="E50" s="2">
        <v>1134.325</v>
      </c>
      <c r="F50" s="2">
        <v>229.0</v>
      </c>
      <c r="G50" s="2">
        <v>11.0</v>
      </c>
      <c r="H50" s="2">
        <v>219.0</v>
      </c>
      <c r="I50" s="2">
        <v>49.5</v>
      </c>
      <c r="J50" s="4">
        <f t="shared" si="1"/>
        <v>2018</v>
      </c>
      <c r="K50" s="4" t="str">
        <f t="shared" si="2"/>
        <v>January</v>
      </c>
      <c r="L50" s="4">
        <f t="shared" si="3"/>
        <v>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43159.0</v>
      </c>
      <c r="B51" s="2">
        <v>128.36</v>
      </c>
      <c r="C51" s="2">
        <v>132.804</v>
      </c>
      <c r="D51" s="2">
        <v>114.65</v>
      </c>
      <c r="E51" s="2">
        <v>1255.374</v>
      </c>
      <c r="F51" s="2">
        <v>268.0</v>
      </c>
      <c r="G51" s="2">
        <v>12.0</v>
      </c>
      <c r="H51" s="2">
        <v>253.0</v>
      </c>
      <c r="I51" s="2">
        <v>39.06</v>
      </c>
      <c r="J51" s="4">
        <f t="shared" si="1"/>
        <v>2018</v>
      </c>
      <c r="K51" s="4" t="str">
        <f t="shared" si="2"/>
        <v>February</v>
      </c>
      <c r="L51" s="4">
        <f t="shared" si="3"/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43190.0</v>
      </c>
      <c r="B52" s="2">
        <v>146.16</v>
      </c>
      <c r="C52" s="2">
        <v>111.764</v>
      </c>
      <c r="D52" s="2">
        <v>122.3</v>
      </c>
      <c r="E52" s="2">
        <v>999.123</v>
      </c>
      <c r="F52" s="2">
        <v>381.0</v>
      </c>
      <c r="G52" s="2">
        <v>42.0</v>
      </c>
      <c r="H52" s="2">
        <v>269.0</v>
      </c>
      <c r="I52" s="2">
        <v>85.5</v>
      </c>
      <c r="J52" s="4">
        <f t="shared" si="1"/>
        <v>2018</v>
      </c>
      <c r="K52" s="4" t="str">
        <f t="shared" si="2"/>
        <v>March</v>
      </c>
      <c r="L52" s="4">
        <f t="shared" si="3"/>
        <v>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43220.0</v>
      </c>
      <c r="B53" s="2">
        <v>170.02</v>
      </c>
      <c r="C53" s="2">
        <v>107.723</v>
      </c>
      <c r="D53" s="2">
        <v>84.6</v>
      </c>
      <c r="E53" s="2">
        <v>836.036999999999</v>
      </c>
      <c r="F53" s="2">
        <v>289.0</v>
      </c>
      <c r="G53" s="2">
        <v>21.0</v>
      </c>
      <c r="H53" s="2">
        <v>229.0</v>
      </c>
      <c r="I53" s="2">
        <v>197.1</v>
      </c>
      <c r="J53" s="4">
        <f t="shared" si="1"/>
        <v>2018</v>
      </c>
      <c r="K53" s="4" t="str">
        <f t="shared" si="2"/>
        <v>April</v>
      </c>
      <c r="L53" s="4">
        <f t="shared" si="3"/>
        <v>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43251.0</v>
      </c>
      <c r="B54" s="2">
        <v>160.52</v>
      </c>
      <c r="C54" s="2">
        <v>103.521999999999</v>
      </c>
      <c r="D54" s="2">
        <v>89.3999999999999</v>
      </c>
      <c r="E54" s="2">
        <v>644.648</v>
      </c>
      <c r="F54" s="2">
        <v>259.0</v>
      </c>
      <c r="G54" s="2">
        <v>13.0</v>
      </c>
      <c r="H54" s="2">
        <v>192.0</v>
      </c>
      <c r="I54" s="2">
        <v>213.04</v>
      </c>
      <c r="J54" s="4">
        <f t="shared" si="1"/>
        <v>2018</v>
      </c>
      <c r="K54" s="4" t="str">
        <f t="shared" si="2"/>
        <v>May</v>
      </c>
      <c r="L54" s="4">
        <f t="shared" si="3"/>
        <v>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43281.0</v>
      </c>
      <c r="B55" s="2">
        <v>141.18</v>
      </c>
      <c r="C55" s="2">
        <v>114.226</v>
      </c>
      <c r="D55" s="2">
        <v>86.8</v>
      </c>
      <c r="E55" s="2">
        <v>584.343</v>
      </c>
      <c r="F55" s="2">
        <v>248.0</v>
      </c>
      <c r="G55" s="2">
        <v>18.0</v>
      </c>
      <c r="H55" s="2">
        <v>101.0</v>
      </c>
      <c r="I55" s="2">
        <v>120.8</v>
      </c>
      <c r="J55" s="4">
        <f t="shared" si="1"/>
        <v>2018</v>
      </c>
      <c r="K55" s="4" t="str">
        <f t="shared" si="2"/>
        <v>June</v>
      </c>
      <c r="L55" s="4">
        <f t="shared" si="3"/>
        <v>6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43312.0</v>
      </c>
      <c r="B56" s="2">
        <v>150.18</v>
      </c>
      <c r="C56" s="2">
        <v>132.549</v>
      </c>
      <c r="D56" s="2">
        <v>87.2</v>
      </c>
      <c r="E56" s="2">
        <v>679.349999999999</v>
      </c>
      <c r="F56" s="2">
        <v>283.0</v>
      </c>
      <c r="G56" s="2">
        <v>19.0</v>
      </c>
      <c r="H56" s="2">
        <v>90.0</v>
      </c>
      <c r="I56" s="2">
        <v>122.2</v>
      </c>
      <c r="J56" s="4">
        <f t="shared" si="1"/>
        <v>2018</v>
      </c>
      <c r="K56" s="4" t="str">
        <f t="shared" si="2"/>
        <v>July</v>
      </c>
      <c r="L56" s="4">
        <f t="shared" si="3"/>
        <v>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43343.0</v>
      </c>
      <c r="B57" s="2">
        <v>140.0</v>
      </c>
      <c r="C57" s="2">
        <v>114.719</v>
      </c>
      <c r="D57" s="2">
        <v>88.25</v>
      </c>
      <c r="E57" s="2">
        <v>733.838</v>
      </c>
      <c r="F57" s="2">
        <v>253.0</v>
      </c>
      <c r="G57" s="2">
        <v>20.0</v>
      </c>
      <c r="H57" s="2">
        <v>159.0</v>
      </c>
      <c r="I57" s="2">
        <v>103.1</v>
      </c>
      <c r="J57" s="4">
        <f t="shared" si="1"/>
        <v>2018</v>
      </c>
      <c r="K57" s="4" t="str">
        <f t="shared" si="2"/>
        <v>August</v>
      </c>
      <c r="L57" s="4">
        <f t="shared" si="3"/>
        <v>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43373.0</v>
      </c>
      <c r="B58" s="2">
        <v>153.52</v>
      </c>
      <c r="C58" s="2">
        <v>114.992</v>
      </c>
      <c r="D58" s="2">
        <v>86.5</v>
      </c>
      <c r="E58" s="2">
        <v>1058.262</v>
      </c>
      <c r="F58" s="2">
        <v>263.0</v>
      </c>
      <c r="G58" s="2">
        <v>12.0</v>
      </c>
      <c r="H58" s="2">
        <v>205.0</v>
      </c>
      <c r="I58" s="2">
        <v>88.1</v>
      </c>
      <c r="J58" s="4">
        <f t="shared" si="1"/>
        <v>2018</v>
      </c>
      <c r="K58" s="4" t="str">
        <f t="shared" si="2"/>
        <v>September</v>
      </c>
      <c r="L58" s="4">
        <f t="shared" si="3"/>
        <v>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43404.0</v>
      </c>
      <c r="B59" s="2">
        <v>144.71</v>
      </c>
      <c r="C59" s="2">
        <v>129.4</v>
      </c>
      <c r="D59" s="2">
        <v>76.05</v>
      </c>
      <c r="E59" s="2">
        <v>1129.27499999999</v>
      </c>
      <c r="F59" s="2">
        <v>287.0</v>
      </c>
      <c r="G59" s="2">
        <v>25.0</v>
      </c>
      <c r="H59" s="2">
        <v>353.0</v>
      </c>
      <c r="I59" s="2">
        <v>76.9</v>
      </c>
      <c r="J59" s="4">
        <f t="shared" si="1"/>
        <v>2018</v>
      </c>
      <c r="K59" s="4" t="str">
        <f t="shared" si="2"/>
        <v>October</v>
      </c>
      <c r="L59" s="4">
        <f t="shared" si="3"/>
        <v>10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43434.0</v>
      </c>
      <c r="B60" s="2">
        <v>172.29</v>
      </c>
      <c r="C60" s="2">
        <v>105.487</v>
      </c>
      <c r="D60" s="2">
        <v>102.149999999999</v>
      </c>
      <c r="E60" s="2">
        <v>995.15</v>
      </c>
      <c r="F60" s="2">
        <v>252.2</v>
      </c>
      <c r="G60" s="2">
        <v>22.0</v>
      </c>
      <c r="H60" s="2">
        <v>311.0</v>
      </c>
      <c r="I60" s="2">
        <v>48.4</v>
      </c>
      <c r="J60" s="4">
        <f t="shared" si="1"/>
        <v>2018</v>
      </c>
      <c r="K60" s="4" t="str">
        <f t="shared" si="2"/>
        <v>November</v>
      </c>
      <c r="L60" s="4">
        <f t="shared" si="3"/>
        <v>11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43465.0</v>
      </c>
      <c r="B61" s="2">
        <v>147.71</v>
      </c>
      <c r="C61" s="2">
        <v>113.024</v>
      </c>
      <c r="D61" s="2">
        <v>84.75</v>
      </c>
      <c r="E61" s="2">
        <v>1213.95</v>
      </c>
      <c r="F61" s="2">
        <v>254.0</v>
      </c>
      <c r="G61" s="2">
        <v>27.0</v>
      </c>
      <c r="H61" s="2">
        <v>384.0</v>
      </c>
      <c r="I61" s="2">
        <v>53.0999999999999</v>
      </c>
      <c r="J61" s="4">
        <f t="shared" si="1"/>
        <v>2018</v>
      </c>
      <c r="K61" s="4" t="str">
        <f t="shared" si="2"/>
        <v>December</v>
      </c>
      <c r="L61" s="4">
        <f t="shared" si="3"/>
        <v>12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43496.0</v>
      </c>
      <c r="B62" s="2">
        <v>179.7</v>
      </c>
      <c r="C62" s="2">
        <v>222.351</v>
      </c>
      <c r="D62" s="2">
        <v>99.6999999999999</v>
      </c>
      <c r="E62" s="2">
        <v>1660.612</v>
      </c>
      <c r="F62" s="2">
        <v>295.2</v>
      </c>
      <c r="G62" s="2">
        <v>23.0</v>
      </c>
      <c r="H62" s="2">
        <v>386.0</v>
      </c>
      <c r="I62" s="2">
        <v>41.3</v>
      </c>
      <c r="J62" s="4">
        <f t="shared" si="1"/>
        <v>2019</v>
      </c>
      <c r="K62" s="4" t="str">
        <f t="shared" si="2"/>
        <v>January</v>
      </c>
      <c r="L62" s="4">
        <f t="shared" si="3"/>
        <v>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43524.0</v>
      </c>
      <c r="B63" s="2">
        <v>133.73</v>
      </c>
      <c r="C63" s="2">
        <v>142.155</v>
      </c>
      <c r="D63" s="2">
        <v>110.199999999999</v>
      </c>
      <c r="E63" s="2">
        <v>1001.212</v>
      </c>
      <c r="F63" s="2">
        <v>249.399999999999</v>
      </c>
      <c r="G63" s="2">
        <v>12.0</v>
      </c>
      <c r="H63" s="2">
        <v>226.0</v>
      </c>
      <c r="I63" s="2">
        <v>69.5</v>
      </c>
      <c r="J63" s="4">
        <f t="shared" si="1"/>
        <v>2019</v>
      </c>
      <c r="K63" s="4" t="str">
        <f t="shared" si="2"/>
        <v>February</v>
      </c>
      <c r="L63" s="4">
        <f t="shared" si="3"/>
        <v>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43555.0</v>
      </c>
      <c r="B64" s="2">
        <v>154.52</v>
      </c>
      <c r="C64" s="2">
        <v>113.118</v>
      </c>
      <c r="D64" s="2">
        <v>83.35</v>
      </c>
      <c r="E64" s="2">
        <v>941.05</v>
      </c>
      <c r="F64" s="2">
        <v>301.4</v>
      </c>
      <c r="G64" s="2">
        <v>19.0</v>
      </c>
      <c r="H64" s="2">
        <v>257.0</v>
      </c>
      <c r="I64" s="2">
        <v>169.499999999999</v>
      </c>
      <c r="J64" s="4">
        <f t="shared" si="1"/>
        <v>2019</v>
      </c>
      <c r="K64" s="4" t="str">
        <f t="shared" si="2"/>
        <v>March</v>
      </c>
      <c r="L64" s="4">
        <f t="shared" si="3"/>
        <v>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43585.0</v>
      </c>
      <c r="B65" s="2">
        <v>161.39</v>
      </c>
      <c r="C65" s="2">
        <v>100.165</v>
      </c>
      <c r="D65" s="2">
        <v>88.1</v>
      </c>
      <c r="E65" s="2">
        <v>647.65</v>
      </c>
      <c r="F65" s="2">
        <v>299.4</v>
      </c>
      <c r="G65" s="2">
        <v>22.0</v>
      </c>
      <c r="H65" s="2">
        <v>259.0</v>
      </c>
      <c r="I65" s="2">
        <v>179.1</v>
      </c>
      <c r="J65" s="4">
        <f t="shared" si="1"/>
        <v>2019</v>
      </c>
      <c r="K65" s="4" t="str">
        <f t="shared" si="2"/>
        <v>April</v>
      </c>
      <c r="L65" s="4">
        <f t="shared" si="3"/>
        <v>4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43616.0</v>
      </c>
      <c r="B66" s="2">
        <v>168.04</v>
      </c>
      <c r="C66" s="2">
        <v>97.258</v>
      </c>
      <c r="D66" s="2">
        <v>104.1</v>
      </c>
      <c r="E66" s="2">
        <v>703.562</v>
      </c>
      <c r="F66" s="2">
        <v>265.799999999999</v>
      </c>
      <c r="G66" s="2">
        <v>26.0</v>
      </c>
      <c r="H66" s="2">
        <v>322.0</v>
      </c>
      <c r="I66" s="2">
        <v>135.4</v>
      </c>
      <c r="J66" s="4">
        <f t="shared" si="1"/>
        <v>2019</v>
      </c>
      <c r="K66" s="4" t="str">
        <f t="shared" si="2"/>
        <v>May</v>
      </c>
      <c r="L66" s="4">
        <f t="shared" si="3"/>
        <v>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v>43646.0</v>
      </c>
      <c r="B67" s="2">
        <v>151.54</v>
      </c>
      <c r="C67" s="2">
        <v>101.627</v>
      </c>
      <c r="D67" s="2">
        <v>103.2</v>
      </c>
      <c r="E67" s="2">
        <v>609.999999999999</v>
      </c>
      <c r="F67" s="2">
        <v>193.0</v>
      </c>
      <c r="G67" s="2">
        <v>25.0</v>
      </c>
      <c r="H67" s="2">
        <v>142.0</v>
      </c>
      <c r="I67" s="2">
        <v>156.04</v>
      </c>
      <c r="J67" s="4">
        <f t="shared" si="1"/>
        <v>2019</v>
      </c>
      <c r="K67" s="4" t="str">
        <f t="shared" si="2"/>
        <v>June</v>
      </c>
      <c r="L67" s="4">
        <f t="shared" si="3"/>
        <v>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43677.0</v>
      </c>
      <c r="B68" s="2">
        <v>181.0</v>
      </c>
      <c r="C68" s="2">
        <v>103.541</v>
      </c>
      <c r="D68" s="2">
        <v>92.8</v>
      </c>
      <c r="E68" s="2">
        <v>649.8</v>
      </c>
      <c r="F68" s="2">
        <v>250.6</v>
      </c>
      <c r="G68" s="2">
        <v>20.0</v>
      </c>
      <c r="H68" s="2">
        <v>115.0</v>
      </c>
      <c r="I68" s="2">
        <v>105.2</v>
      </c>
      <c r="J68" s="4">
        <f t="shared" si="1"/>
        <v>2019</v>
      </c>
      <c r="K68" s="4" t="str">
        <f t="shared" si="2"/>
        <v>July</v>
      </c>
      <c r="L68" s="4">
        <f t="shared" si="3"/>
        <v>7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>
        <v>43708.0</v>
      </c>
      <c r="B69" s="2">
        <v>181.91</v>
      </c>
      <c r="C69" s="2">
        <v>88.269</v>
      </c>
      <c r="D69" s="2">
        <v>84.1999999999999</v>
      </c>
      <c r="E69" s="2">
        <v>518.099999999999</v>
      </c>
      <c r="F69" s="2">
        <v>237.0</v>
      </c>
      <c r="G69" s="2">
        <v>26.0</v>
      </c>
      <c r="H69" s="2">
        <v>145.0</v>
      </c>
      <c r="I69" s="2">
        <v>97.3</v>
      </c>
      <c r="J69" s="4">
        <f t="shared" si="1"/>
        <v>2019</v>
      </c>
      <c r="K69" s="4" t="str">
        <f t="shared" si="2"/>
        <v>August</v>
      </c>
      <c r="L69" s="4">
        <f t="shared" si="3"/>
        <v>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43738.0</v>
      </c>
      <c r="B70" s="2">
        <v>161.07</v>
      </c>
      <c r="C70" s="2">
        <v>111.437</v>
      </c>
      <c r="D70" s="2">
        <v>93.4999999999999</v>
      </c>
      <c r="E70" s="2">
        <v>984.479999999999</v>
      </c>
      <c r="F70" s="2">
        <v>227.799999999999</v>
      </c>
      <c r="G70" s="2">
        <v>16.0</v>
      </c>
      <c r="H70" s="2">
        <v>161.0</v>
      </c>
      <c r="I70" s="2">
        <v>109.1</v>
      </c>
      <c r="J70" s="4">
        <f t="shared" si="1"/>
        <v>2019</v>
      </c>
      <c r="K70" s="4" t="str">
        <f t="shared" si="2"/>
        <v>September</v>
      </c>
      <c r="L70" s="4">
        <f t="shared" si="3"/>
        <v>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>
        <v>43769.0</v>
      </c>
      <c r="B71" s="2">
        <v>44.37</v>
      </c>
      <c r="C71" s="2">
        <v>37.3</v>
      </c>
      <c r="D71" s="2">
        <v>20.65</v>
      </c>
      <c r="E71" s="2">
        <v>295.15</v>
      </c>
      <c r="F71" s="2">
        <v>86.0</v>
      </c>
      <c r="G71" s="2">
        <v>7.0</v>
      </c>
      <c r="H71" s="2">
        <v>37.0</v>
      </c>
      <c r="I71" s="2">
        <v>11.1299999999999</v>
      </c>
      <c r="J71" s="4">
        <f t="shared" si="1"/>
        <v>2019</v>
      </c>
      <c r="K71" s="4" t="str">
        <f t="shared" si="2"/>
        <v>October</v>
      </c>
      <c r="L71" s="4">
        <f t="shared" si="3"/>
        <v>10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1" max="11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" t="s">
        <v>35</v>
      </c>
    </row>
    <row r="4">
      <c r="A4" s="8" t="s">
        <v>36</v>
      </c>
      <c r="B4" s="9"/>
      <c r="C4" s="8" t="s">
        <v>37</v>
      </c>
      <c r="D4" s="9"/>
      <c r="E4" s="8" t="s">
        <v>38</v>
      </c>
      <c r="F4" s="10"/>
      <c r="G4" s="8" t="s">
        <v>39</v>
      </c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>
        <v>126586.0</v>
      </c>
      <c r="B5" s="13"/>
      <c r="C5" s="14" t="s">
        <v>40</v>
      </c>
      <c r="D5" s="13"/>
      <c r="E5" s="14" t="s">
        <v>41</v>
      </c>
      <c r="F5" s="13"/>
      <c r="G5" s="14" t="s">
        <v>42</v>
      </c>
      <c r="H5" s="13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40">
      <c r="A40" s="15" t="s">
        <v>43</v>
      </c>
    </row>
    <row r="42">
      <c r="A42" s="16" t="s">
        <v>44</v>
      </c>
    </row>
  </sheetData>
  <mergeCells count="7">
    <mergeCell ref="A1:H1"/>
    <mergeCell ref="A40:G40"/>
    <mergeCell ref="A5:B5"/>
    <mergeCell ref="C5:D5"/>
    <mergeCell ref="E5:F5"/>
    <mergeCell ref="G5:H5"/>
    <mergeCell ref="A42:G49"/>
  </mergeCells>
  <drawing r:id="rId1"/>
</worksheet>
</file>